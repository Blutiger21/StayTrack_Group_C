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Overview" sheetId="2" r:id="rId5"/>
    <sheet state="visible" name="Task Progress" sheetId="3" r:id="rId6"/>
    <sheet state="visible" name="Individual Contributions" sheetId="4" r:id="rId7"/>
    <sheet state="visible" name="Stakeholder Engagement" sheetId="5" r:id="rId8"/>
    <sheet state="visible" name="Challenges &amp; Actions" sheetId="6" r:id="rId9"/>
    <sheet state="visible" name="Phase Summary" sheetId="7" r:id="rId10"/>
    <sheet state="visible" name="Group Reflection" sheetId="8" r:id="rId11"/>
  </sheets>
  <definedNames/>
  <calcPr/>
  <extLst>
    <ext uri="GoogleSheetsCustomDataVersion2">
      <go:sheetsCustomData xmlns:go="http://customooxmlschemas.google.com/" r:id="rId12" roundtripDataChecksum="qWBM086IJrHFjY2mCCbF9mRaKxhd/9QnQg+MwOXKJEw="/>
    </ext>
  </extLst>
</workbook>
</file>

<file path=xl/sharedStrings.xml><?xml version="1.0" encoding="utf-8"?>
<sst xmlns="http://schemas.openxmlformats.org/spreadsheetml/2006/main" count="423" uniqueCount="264">
  <si>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</si>
  <si>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</si>
  <si>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</si>
  <si>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</si>
  <si>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</si>
  <si>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</si>
  <si>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</si>
  <si>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</si>
  <si>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</si>
  <si>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</si>
  <si>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</si>
  <si>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</si>
  <si>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</si>
  <si>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</si>
  <si>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</si>
  <si>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</si>
  <si>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</si>
  <si>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</si>
  <si>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</si>
  <si>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</si>
  <si>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</si>
  <si>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</si>
  <si>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</si>
  <si>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</si>
  <si>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</si>
  <si>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</si>
  <si>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</si>
  <si>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</si>
  <si>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</si>
  <si>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</si>
  <si>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</si>
  <si>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</si>
  <si>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Individual Contribution Record</t>
  </si>
  <si>
    <t>Task Progress Tracker</t>
  </si>
  <si>
    <t>Unit 1 / Phase 1</t>
  </si>
  <si>
    <t>Planning, stakeholder engagement, requirements and initial SRS</t>
  </si>
  <si>
    <t>Phase 2</t>
  </si>
  <si>
    <t>Architecture, UML, ERD and interface design</t>
  </si>
  <si>
    <t>Phase 3</t>
  </si>
  <si>
    <t>Development, integration, testing and demonstration</t>
  </si>
  <si>
    <t>Task ID</t>
  </si>
  <si>
    <t>Student Name</t>
  </si>
  <si>
    <t>Final</t>
  </si>
  <si>
    <t>Overall project summary and final reflection</t>
  </si>
  <si>
    <t>Reporting Phase</t>
  </si>
  <si>
    <t>Student Number</t>
  </si>
  <si>
    <t>Activity</t>
  </si>
  <si>
    <t>Task Description</t>
  </si>
  <si>
    <t>Assigned Responsibility</t>
  </si>
  <si>
    <t>Assigned Student</t>
  </si>
  <si>
    <t>Start Date</t>
  </si>
  <si>
    <t>Work Personally Completed</t>
  </si>
  <si>
    <t>Due Date</t>
  </si>
  <si>
    <t>Date Completed</t>
  </si>
  <si>
    <t>Status</t>
  </si>
  <si>
    <t>Hours Spent</t>
  </si>
  <si>
    <t>% Complete</t>
  </si>
  <si>
    <t>Evidence / Link</t>
  </si>
  <si>
    <t>Verified by Group</t>
  </si>
  <si>
    <t>Lecturer Comment</t>
  </si>
  <si>
    <t>Progress Flag</t>
  </si>
  <si>
    <t>Verification Date</t>
  </si>
  <si>
    <t>U1-01</t>
  </si>
  <si>
    <t>Notes</t>
  </si>
  <si>
    <t>Fidelis</t>
  </si>
  <si>
    <t>Activity 1.1</t>
  </si>
  <si>
    <t>Identify and confirm the external stakeholder</t>
  </si>
  <si>
    <t>FB Amatebelle</t>
  </si>
  <si>
    <t>Compile the initial SRS</t>
  </si>
  <si>
    <t>Completed</t>
  </si>
  <si>
    <t>SRS Document</t>
  </si>
  <si>
    <t>Yes</t>
  </si>
  <si>
    <t>Conducted the stakeholder interview</t>
  </si>
  <si>
    <t>MA Mohapi</t>
  </si>
  <si>
    <t>Project Overview and Progress Dashboard</t>
  </si>
  <si>
    <t>U1-02</t>
  </si>
  <si>
    <t>Prepare stakeholder interview questions</t>
  </si>
  <si>
    <t>Document the current process and problem</t>
  </si>
  <si>
    <t>Seleke TM</t>
  </si>
  <si>
    <t>Project Information</t>
  </si>
  <si>
    <t>Group Response</t>
  </si>
  <si>
    <t>Task Status</t>
  </si>
  <si>
    <t>Count</t>
  </si>
  <si>
    <t>TM Seleke</t>
  </si>
  <si>
    <t>Group name or number</t>
  </si>
  <si>
    <t>Group C</t>
  </si>
  <si>
    <t>U1-03</t>
  </si>
  <si>
    <t>Define the project aim, objectives and scope</t>
  </si>
  <si>
    <t>Project title</t>
  </si>
  <si>
    <t>Student Accommodation Payment &amp; Management System Prototype</t>
  </si>
  <si>
    <t>U1-04</t>
  </si>
  <si>
    <t>In Progress</t>
  </si>
  <si>
    <t>Activity 1.2</t>
  </si>
  <si>
    <t>Mohapi MA</t>
  </si>
  <si>
    <t>Stakeholder or organisation</t>
  </si>
  <si>
    <t>Gladys Belle : owner/manager of 3 student accommodation properties</t>
  </si>
  <si>
    <t>Not Started</t>
  </si>
  <si>
    <t>Interview questions document</t>
  </si>
  <si>
    <t>Group mentor</t>
  </si>
  <si>
    <t>Delayed</t>
  </si>
  <si>
    <t>Reporting phase</t>
  </si>
  <si>
    <t>Create the initial Microsoft Project schedule</t>
  </si>
  <si>
    <t>U1-05</t>
  </si>
  <si>
    <t>Blocked</t>
  </si>
  <si>
    <t>Conduct and document the stakeholder interview</t>
  </si>
  <si>
    <t>FB Amatebelle &amp; Seleke TM</t>
  </si>
  <si>
    <t>Reporting period</t>
  </si>
  <si>
    <t>Overdue</t>
  </si>
  <si>
    <t>TD Tshitangano</t>
  </si>
  <si>
    <t>Interview Notes</t>
  </si>
  <si>
    <t>Overall status</t>
  </si>
  <si>
    <t>Create and configure the GitHub repository</t>
  </si>
  <si>
    <t>Overall % complete</t>
  </si>
  <si>
    <t>U1-06</t>
  </si>
  <si>
    <t>Activity 1.3</t>
  </si>
  <si>
    <t>FB Amatebelle &amp; Mohapi MA</t>
  </si>
  <si>
    <t>Contribution Summary</t>
  </si>
  <si>
    <t>Main achievement</t>
  </si>
  <si>
    <t>Stakeholder Engagement Record</t>
  </si>
  <si>
    <t>Contribution entries</t>
  </si>
  <si>
    <t>U1-07</t>
  </si>
  <si>
    <t>Date</t>
  </si>
  <si>
    <t>Main challenge</t>
  </si>
  <si>
    <t>Create the initial Supabase project</t>
  </si>
  <si>
    <t>Verified entries</t>
  </si>
  <si>
    <t>Type of Engagement</t>
  </si>
  <si>
    <t>Next planned activity</t>
  </si>
  <si>
    <t>U1-08</t>
  </si>
  <si>
    <t>Unverified entries</t>
  </si>
  <si>
    <t>Students Present</t>
  </si>
  <si>
    <t>Tshitangano TD</t>
  </si>
  <si>
    <t>Stakeholder Present / Role</t>
  </si>
  <si>
    <t>Main Findings</t>
  </si>
  <si>
    <t>Stakeholder engagements</t>
  </si>
  <si>
    <t>Github repository link</t>
  </si>
  <si>
    <t>Action Required</t>
  </si>
  <si>
    <t>U1-09</t>
  </si>
  <si>
    <t>Online Meeting</t>
  </si>
  <si>
    <t>Stakeholder Interview</t>
  </si>
  <si>
    <t>SupaBase URL</t>
  </si>
  <si>
    <t>All Members</t>
  </si>
  <si>
    <t>present</t>
  </si>
  <si>
    <t>Full needs assessment covering payments, maintenance, security and access ,see Stakeholder Interview Notes</t>
  </si>
  <si>
    <t>Interview notes Document</t>
  </si>
  <si>
    <t>U1-10</t>
  </si>
  <si>
    <t>Complete the progress report and contribution record</t>
  </si>
  <si>
    <t>U1-11</t>
  </si>
  <si>
    <t>Complete the Unit 1 group reflection</t>
  </si>
  <si>
    <t>Email</t>
  </si>
  <si>
    <t>This Document</t>
  </si>
  <si>
    <t>Confirmation Findings</t>
  </si>
  <si>
    <t>U2-01</t>
  </si>
  <si>
    <t>Confirmation of interview summary findings</t>
  </si>
  <si>
    <t>Unit 2/ Phase 1</t>
  </si>
  <si>
    <t>Activity 2.1</t>
  </si>
  <si>
    <t>Conduct a Feasibility Study</t>
  </si>
  <si>
    <t>Confirmation of findings document</t>
  </si>
  <si>
    <t>FB Amatebelle &amp; Molelekeng KP</t>
  </si>
  <si>
    <t>Feasibility Document</t>
  </si>
  <si>
    <t>U2-02</t>
  </si>
  <si>
    <t>Technical feasibility</t>
  </si>
  <si>
    <t>U2-03</t>
  </si>
  <si>
    <t>Operational feasibility</t>
  </si>
  <si>
    <t>Molelekeng KP</t>
  </si>
  <si>
    <t>U2-04</t>
  </si>
  <si>
    <t>economical feasibility</t>
  </si>
  <si>
    <t>U2-05</t>
  </si>
  <si>
    <t>Schedule feasibility</t>
  </si>
  <si>
    <t>U2-06</t>
  </si>
  <si>
    <t>Legal feasibility</t>
  </si>
  <si>
    <t>U2-07</t>
  </si>
  <si>
    <t>Ethical feasibility</t>
  </si>
  <si>
    <t>Challenges and Corrective Actions</t>
  </si>
  <si>
    <t>Date Identified</t>
  </si>
  <si>
    <t>U2-08</t>
  </si>
  <si>
    <t>Challenge</t>
  </si>
  <si>
    <t>Feasibility conclusion</t>
  </si>
  <si>
    <t>Effect on Progress</t>
  </si>
  <si>
    <t>Corrective Action</t>
  </si>
  <si>
    <t>Responsible Student</t>
  </si>
  <si>
    <t>Target Date</t>
  </si>
  <si>
    <t>23/08/2026</t>
  </si>
  <si>
    <t>U2-09</t>
  </si>
  <si>
    <t>Activity 2.2</t>
  </si>
  <si>
    <t>Risk Register</t>
  </si>
  <si>
    <t>Gongxeka IQ</t>
  </si>
  <si>
    <t>Inactive participation to group meetings</t>
  </si>
  <si>
    <t>Slower task completion due to unavailability</t>
  </si>
  <si>
    <t>Risk Register document</t>
  </si>
  <si>
    <t>Issued a warning in a public space that if the issue is not resolved, measures will be taken with the lecturer</t>
  </si>
  <si>
    <t>Leeuw GA</t>
  </si>
  <si>
    <t>Resolved</t>
  </si>
  <si>
    <t>25/08/2026</t>
  </si>
  <si>
    <t>U2-10</t>
  </si>
  <si>
    <t>Activity 2.3</t>
  </si>
  <si>
    <t>Not yet confident using Microsoft Project</t>
  </si>
  <si>
    <t>Refine the SRS</t>
  </si>
  <si>
    <t>Risk of an incomplete/inaccurate schedule</t>
  </si>
  <si>
    <t>Used a structured task-list template and step-by-step guidance to build the schedule</t>
  </si>
  <si>
    <t>Amatebelle FB &amp; Seleke TM</t>
  </si>
  <si>
    <t>U2-11</t>
  </si>
  <si>
    <t>Refine the Project Plan</t>
  </si>
  <si>
    <t>FB Amatebelle &amp; Gongxeka IQ</t>
  </si>
  <si>
    <t>Phase Progress Summary</t>
  </si>
  <si>
    <t>Summary Information</t>
  </si>
  <si>
    <t>Phase Completion Checklist</t>
  </si>
  <si>
    <t>Initial or updated SRS completed</t>
  </si>
  <si>
    <t>18 August 2026 - 4 September 2026</t>
  </si>
  <si>
    <t>Progress report updated</t>
  </si>
  <si>
    <t>Overall phase status</t>
  </si>
  <si>
    <t>Individual contributions recorded</t>
  </si>
  <si>
    <t>No</t>
  </si>
  <si>
    <t>What was completed during this phase?</t>
  </si>
  <si>
    <t>The initial SRS document, draft of stakeholder questions and interview,
Defining the project aim, objectives and scope , Microsoft Project Schedule, creation of the GitHub repository and Supabase ,documentation of the current process and problem.</t>
  </si>
  <si>
    <t>Stakeholder engagement recorded</t>
  </si>
  <si>
    <t>What remains incomplete?</t>
  </si>
  <si>
    <t>Group evaluation report</t>
  </si>
  <si>
    <t>Challenges and actions updated</t>
  </si>
  <si>
    <t>Why is it incomplete?</t>
  </si>
  <si>
    <t>The group is struggling to agree on an approach on how the evaluation report can be conducted. Lack of engagement has caused a delay, affecting our ability to finish phase 1 on time.</t>
  </si>
  <si>
    <t>Group reflection completed</t>
  </si>
  <si>
    <t>Which contributions were particularly important?</t>
  </si>
  <si>
    <t>The stakeholder's contribution was crucial, as it gave us clear direction and helped us identify key issues that we, as a team could address to the best of our ability. The most important contribution was teamwork. Although we had a rough start with members arriving late or not showing up, we eventually found common ground and found ways to work together to complete this phase.</t>
  </si>
  <si>
    <t>Microsoft Project updated</t>
  </si>
  <si>
    <t>Were there participation concerns?</t>
  </si>
  <si>
    <t>One member was initially inactive in group meetings; this was raised with the group and resolved after a direct conversation, recorded in the Challenges &amp; Actions log. No other participation concerns were identified.</t>
  </si>
  <si>
    <t>GitHub evidence available</t>
  </si>
  <si>
    <t>What will the group improve in the next phase?</t>
  </si>
  <si>
    <t>Improved team communication, meetings scheduled in time with agreement from all members on the proposed dates and times, and supporting one another when facing challenges with assigned tasks.</t>
  </si>
  <si>
    <t>Confidential peer check completed</t>
  </si>
  <si>
    <t>Main priority for the next phase</t>
  </si>
  <si>
    <t>Each team member should have a clear understanding of what is required for the next phase, with tasks divided equally and assigned on time so that we have enough time to support any issues that might happen. We also should take note of the risk register to anticipate potential challenges and how to tackle them, ensuring that we complete the phase on time.</t>
  </si>
  <si>
    <t>Reflection Information</t>
  </si>
  <si>
    <t>Reflection Guidance</t>
  </si>
  <si>
    <t>Length</t>
  </si>
  <si>
    <t>Approximately 300–400 words in total.</t>
  </si>
  <si>
    <t>Student Accomodation and Management System</t>
  </si>
  <si>
    <t>Focus</t>
  </si>
  <si>
    <t>Discuss the group’s actual experience, not the activity instructions.</t>
  </si>
  <si>
    <t>Most important learning from this phase</t>
  </si>
  <si>
    <t>We must use the allocated time wisely, as working last minute leads to rushed and poor quality work. Each member should stick to the given schedule.</t>
  </si>
  <si>
    <t>Honesty</t>
  </si>
  <si>
    <t>Identifying a genuine challenge will not disadvantage the group when an improvement action is provided.</t>
  </si>
  <si>
    <t>What went well and why?</t>
  </si>
  <si>
    <t>The first stakeholder interview. Miss Glady clearly stated the challenges she faces in her business and was very easy to work with, answering all our questions to the best of her ability. The meeting was a great success, with full participation from all our team members.</t>
  </si>
  <si>
    <t>Evidence</t>
  </si>
  <si>
    <t>Ensure that claims about participation agree with the contribution record, Microsoft Project and GitHub.</t>
  </si>
  <si>
    <t>What was difficult and why?</t>
  </si>
  <si>
    <t>Coordinating the Microsoft Project schedule was difficult, as most of the group had limited prior experience with the tool. This slowed down the scheduling task and required extra time to learn dependencies, summary tasks and milestones correctly.</t>
  </si>
  <si>
    <t>Research use</t>
  </si>
  <si>
    <t>Student work may only be used for research after the required ethical approval and consent processes.</t>
  </si>
  <si>
    <t>How were tasks divided among members?</t>
  </si>
  <si>
    <t>A project manager/ group leader was assigned at the beginning of the project. We reviewed the activities that were provided across both units and considered each member's strengths and confidence towards which activity, allowing everyone to choose the tasks they were most comfortable with doing.</t>
  </si>
  <si>
    <t>Did all members contribute fairly? Explain.</t>
  </si>
  <si>
    <t>At the beginning we had an issue with a group member who consistently missed group meetings but it has been resolved. Apart from that, attendance has been consistent, and all the members have completed their assigned tasks within the given time frame.</t>
  </si>
  <si>
    <t>How did the group handle disagreements or delays?</t>
  </si>
  <si>
    <t>We spoke about it as a team and decided that the group leader must address the issue on our WhatsApp group so that each person is well aware of what happened and the consequences, if the matter would happen again. When there was a delay, available team members were asked to help out to increase the progress the specific task.</t>
  </si>
  <si>
    <t>What did the group learn from the stakeholder?</t>
  </si>
  <si>
    <t>We learned that managing a student accomodation without a proper system can lead to significant losses and exhaustion. She mentioned that she is not the only one facing this challenge, as many landlords are sceptical about technology and continue to use manual methods, which are no longer effective given the growing number of students and the amount of information that must be captured at the end of each month which is a very tiring process. Implementing a system will not only benefit her business but will also improve her well-being allowing her to clearly track how her business is doing.</t>
  </si>
  <si>
    <t>Improvement action 1 for the next phase</t>
  </si>
  <si>
    <t>Update the progress tracker continuously throughout each phase rather than mainly at the end, to reduce last-minute compilation work.</t>
  </si>
  <si>
    <t>Improvement action 2 for the next phase</t>
  </si>
  <si>
    <t>Build in dedicated early learning time for tools the group is less confident with (Microsoft Project, Supabase, OTP authentication in ASP.NET) before they are needed for a deliverable.</t>
  </si>
  <si>
    <t>Priority for the next phase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</si>
</sst>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0&quot;%&quot;"/>
    <numFmt numFmtId="166" formatCode="0.0"/>
    <numFmt numFmtId="167" formatCode="0.0%"/>
    <numFmt numFmtId="168" formatCode="D/M/YYYY"/>
  </numFmts>
  <fonts count="13">
    <font>
      <sz val="11.0"/>
      <color rgb="FF000000"/>
      <name val="Carlito"/>
      <scheme val="minor"/>
    </font>
    <font>
      <b/>
      <sz val="16.0"/>
      <color rgb="FFFFFFFF"/>
      <name val="Carlito"/>
    </font>
    <font/>
    <font>
      <i/>
      <sz val="11.0"/>
      <color rgb="FF1F2937"/>
      <name val="Carlito"/>
    </font>
    <font>
      <b/>
      <sz val="11.0"/>
      <color rgb="FFFFFFFF"/>
      <name val="Carlito"/>
    </font>
    <font>
      <b/>
      <sz val="11.0"/>
      <color rgb="FF0B2E59"/>
      <name val="Carlito"/>
    </font>
    <font>
      <sz val="11.0"/>
      <color theme="1"/>
      <name val="Carlito"/>
    </font>
    <font>
      <u/>
      <sz val="11.0"/>
      <color theme="10"/>
      <name val="Carlito"/>
    </font>
    <font>
      <sz val="11.0"/>
      <color rgb="FF1F2937"/>
      <name val="Carlito"/>
    </font>
    <font>
      <sz val="11.0"/>
      <color rgb="FF000000"/>
      <name val="Carlito"/>
    </font>
    <font>
      <sz val="10.0"/>
      <color rgb="FF000000"/>
      <name val="Arial"/>
    </font>
    <font>
      <u/>
      <sz val="11.0"/>
      <color theme="10"/>
      <name val="Carlito"/>
    </font>
    <font>
      <sz val="10.0"/>
      <color theme="1"/>
      <name val="Arial"/>
    </font>
  </fonts>
  <fills count="7">
    <fill>
      <patternFill patternType="none"/>
    </fill>
    <fill>
      <patternFill patternType="lightGray"/>
    </fill>
    <fill>
      <patternFill patternType="solid">
        <fgColor rgb="FF0B2E59"/>
        <bgColor rgb="FF0B2E59"/>
      </patternFill>
    </fill>
    <fill>
      <patternFill patternType="solid">
        <fgColor rgb="FFFFF8E1"/>
        <bgColor rgb="FFFFF8E1"/>
      </patternFill>
    </fill>
    <fill>
      <patternFill patternType="solid">
        <fgColor rgb="FF1F5A94"/>
        <bgColor rgb="FF1F5A94"/>
      </patternFill>
    </fill>
    <fill>
      <patternFill patternType="solid">
        <fgColor rgb="FFDCEAF7"/>
        <bgColor rgb="FFDCEAF7"/>
      </patternFill>
    </fill>
    <fill>
      <patternFill patternType="solid">
        <fgColor rgb="FFF4F8FC"/>
        <bgColor rgb="FFF4F8FC"/>
      </patternFill>
    </fill>
  </fills>
  <borders count="6">
    <border/>
    <border>
      <left/>
      <top/>
      <bottom/>
    </border>
    <border>
      <top/>
      <bottom/>
    </border>
    <border>
      <right/>
      <top/>
      <bottom/>
    </border>
    <border>
      <left/>
      <right/>
      <top/>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1" fillId="3" fontId="3" numFmtId="0" xfId="0" applyAlignment="1" applyBorder="1" applyFill="1" applyFont="1">
      <alignment shrinkToFit="0" vertical="top" wrapText="1"/>
    </xf>
    <xf borderId="4" fillId="2" fontId="4" numFmtId="0" xfId="0" applyAlignment="1" applyBorder="1" applyFill="1" applyFont="1">
      <alignment horizontal="center" shrinkToFit="0" vertical="center" wrapText="1"/>
    </xf>
    <xf borderId="1" fillId="4" fontId="4" numFmtId="0" xfId="0" applyAlignment="1" applyBorder="1" applyFill="1" applyFont="1">
      <alignment horizontal="left" vertical="center"/>
    </xf>
    <xf borderId="4" fillId="5" fontId="5" numFmtId="0" xfId="0" applyAlignment="1" applyBorder="1" applyFill="1" applyFont="1">
      <alignment horizontal="left" shrinkToFit="0" vertical="center" wrapText="1"/>
    </xf>
    <xf borderId="0" fillId="0" fontId="6" numFmtId="0" xfId="0" applyAlignment="1" applyFont="1">
      <alignment shrinkToFit="0" wrapText="1"/>
    </xf>
    <xf borderId="4" fillId="2" fontId="4" numFmtId="0" xfId="0" applyAlignment="1" applyBorder="1" applyFill="1" applyFont="1">
      <alignment horizontal="center" readingOrder="0" shrinkToFit="0" vertical="center" wrapText="1"/>
    </xf>
    <xf borderId="0" fillId="0" fontId="6" numFmtId="0" xfId="0" applyAlignment="1" applyFont="1">
      <alignment shrinkToFit="0" vertical="top" wrapText="1"/>
    </xf>
    <xf borderId="0" fillId="0" fontId="6" numFmtId="164" xfId="0" applyAlignment="1" applyFont="1" applyNumberFormat="1">
      <alignment shrinkToFit="0" vertical="top" wrapText="1"/>
    </xf>
    <xf borderId="0" fillId="0" fontId="6" numFmtId="165" xfId="0" applyAlignment="1" applyFont="1" applyNumberFormat="1">
      <alignment shrinkToFit="0" vertical="top" wrapText="1"/>
    </xf>
    <xf borderId="0" fillId="0" fontId="6" numFmtId="166" xfId="0" applyAlignment="1" applyFont="1" applyNumberFormat="1">
      <alignment shrinkToFit="0" vertical="top" wrapText="1"/>
    </xf>
    <xf borderId="0" fillId="0" fontId="7" numFmtId="0" xfId="0" applyAlignment="1" applyFont="1">
      <alignment shrinkToFit="0" vertical="top" wrapText="1"/>
    </xf>
    <xf borderId="4" fillId="6" fontId="8" numFmtId="0" xfId="0" applyAlignment="1" applyBorder="1" applyFill="1" applyFont="1">
      <alignment shrinkToFit="0" vertical="top" wrapText="1"/>
    </xf>
    <xf borderId="0" fillId="0" fontId="6" numFmtId="0" xfId="0" applyAlignment="1" applyFont="1">
      <alignment horizontal="center"/>
    </xf>
    <xf borderId="4" fillId="6" fontId="8" numFmtId="167" xfId="0" applyAlignment="1" applyBorder="1" applyFill="1" applyFont="1" applyNumberFormat="1">
      <alignment shrinkToFit="0" vertical="top" wrapText="1"/>
    </xf>
    <xf borderId="0" fillId="0" fontId="9" numFmtId="0" xfId="0" applyAlignment="1" applyFont="1">
      <alignment shrinkToFit="0" vertical="center" wrapText="0"/>
    </xf>
    <xf borderId="0" fillId="0" fontId="10" numFmtId="168" xfId="0" applyAlignment="1" applyFont="1" applyNumberFormat="1">
      <alignment shrinkToFit="0" vertical="center" wrapText="0"/>
    </xf>
    <xf borderId="5" fillId="0" fontId="11" numFmtId="0" xfId="0" applyAlignment="1" applyBorder="1" applyFont="1">
      <alignment shrinkToFit="0" vertical="center" wrapText="1"/>
    </xf>
    <xf borderId="0" fillId="0" fontId="6" numFmtId="0" xfId="0" applyAlignment="1" applyFont="1">
      <alignment readingOrder="0" shrinkToFit="0" vertical="top" wrapText="1"/>
    </xf>
    <xf borderId="0" fillId="0" fontId="6" numFmtId="165" xfId="0" applyAlignment="1" applyFont="1" applyNumberFormat="1">
      <alignment readingOrder="0" shrinkToFit="0" vertical="top" wrapText="1"/>
    </xf>
    <xf borderId="5" fillId="0" fontId="12" numFmtId="0" xfId="0" applyAlignment="1" applyBorder="1" applyFont="1">
      <alignment shrinkToFit="0" vertical="center" wrapText="0"/>
    </xf>
    <xf borderId="0" fillId="0" fontId="10" numFmtId="0" xfId="0" applyAlignment="1" applyFont="1">
      <alignment shrinkToFit="0" vertical="center" wrapText="0"/>
    </xf>
    <xf borderId="5" fillId="0" fontId="12" numFmtId="0" xfId="0" applyAlignment="1" applyBorder="1" applyFont="1">
      <alignment shrinkToFit="0" vertical="center" wrapText="1"/>
    </xf>
    <xf borderId="1" fillId="2" fontId="4" numFmtId="0" xfId="0" applyAlignment="1" applyBorder="1" applyFill="1" applyFont="1">
      <alignment horizontal="center" shrinkToFit="0" vertical="center" wrapText="1"/>
    </xf>
    <xf borderId="0" fillId="0" fontId="6" numFmtId="0" xfId="0" applyAlignment="1" applyFont="1">
      <alignment readingOrder="0"/>
    </xf>
    <xf borderId="4" fillId="6" fontId="8" numFmtId="0" xfId="0" applyAlignment="1" applyBorder="1" applyFill="1" applyFont="1">
      <alignment readingOrder="0" shrinkToFit="0" vertical="top" wrapText="1"/>
    </xf>
    <xf borderId="0" fillId="0" fontId="6" numFmtId="0" xfId="0" applyFont="1"/>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DCFCE7"/>
          <bgColor rgb="FFDCFCE7"/>
        </patternFill>
      </fill>
      <border/>
    </dxf>
    <dxf>
      <font/>
      <fill>
        <patternFill patternType="solid">
          <fgColor rgb="FFDCEAF7"/>
          <bgColor rgb="FFDCEAF7"/>
        </patternFill>
      </fill>
      <border/>
    </dxf>
    <dxf>
      <font/>
      <fill>
        <patternFill patternType="solid">
          <fgColor rgb="FFFEE2E2"/>
          <bgColor rgb="FFFEE2E2"/>
        </patternFill>
      </fill>
      <border/>
    </dxf>
    <dxf>
      <font/>
      <fill>
        <patternFill patternType="solid">
          <fgColor rgb="FFFEF3C7"/>
          <bgColor rgb="FFFEF3C7"/>
        </patternFill>
      </fill>
      <border/>
    </dxf>
    <dxf>
      <font>
        <b/>
      </font>
      <fill>
        <patternFill patternType="solid">
          <fgColor rgb="FFFEE2E2"/>
          <bgColor rgb="FFFEE2E2"/>
        </patternFill>
      </fill>
      <border/>
    </dxf>
  </dxfs>
  <tableStyles count="4">
    <tableStyle count="4" pivot="0" name="Task Progress-style">
      <tableStyleElement dxfId="1" type="headerRow"/>
      <tableStyleElement dxfId="2" type="firstRowStripe"/>
      <tableStyleElement dxfId="3" type="secondRowStripe"/>
      <tableStyleElement dxfId="4" size="0" type="wholeTable"/>
    </tableStyle>
    <tableStyle count="4" pivot="0" name="Individual Contributions-style">
      <tableStyleElement dxfId="1" type="headerRow"/>
      <tableStyleElement dxfId="2" type="firstRowStripe"/>
      <tableStyleElement dxfId="3" type="secondRowStripe"/>
      <tableStyleElement dxfId="4" size="0" type="wholeTable"/>
    </tableStyle>
    <tableStyle count="4" pivot="0" name="Stakeholder Engagement-style">
      <tableStyleElement dxfId="1" type="headerRow"/>
      <tableStyleElement dxfId="2" type="firstRowStripe"/>
      <tableStyleElement dxfId="3" type="secondRowStripe"/>
      <tableStyleElement dxfId="4" size="0" type="wholeTable"/>
    </tableStyle>
    <tableStyle count="4" pivot="0" name="Challenges &amp; Act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Task Status Summary</a:t>
            </a:r>
          </a:p>
        </c:rich>
      </c:tx>
      <c:overlay val="0"/>
    </c:title>
    <c:plotArea>
      <c:layout/>
      <c:barChart>
        <c:barDir val="col"/>
        <c:ser>
          <c:idx val="0"/>
          <c:order val="0"/>
          <c:tx>
            <c:v>Count</c:v>
          </c:tx>
          <c:spPr>
            <a:solidFill>
              <a:schemeClr val="accent1"/>
            </a:solidFill>
            <a:ln cmpd="sng">
              <a:noFill/>
            </a:ln>
          </c:spPr>
          <c:cat>
            <c:strRef>
              <c:f>'Project Overview'!$F$4:$F$9</c:f>
            </c:strRef>
          </c:cat>
          <c:val>
            <c:numRef>
              <c:f>'Project Overview'!$G$4:$G$9</c:f>
              <c:numCache/>
            </c:numRef>
          </c:val>
        </c:ser>
        <c:axId val="1091350557"/>
        <c:axId val="712969239"/>
      </c:barChart>
      <c:catAx>
        <c:axId val="10913505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12969239"/>
      </c:catAx>
      <c:valAx>
        <c:axId val="7129692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1350557"/>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0</xdr:rowOff>
    </xdr:from>
    <xdr:ext cx="3657600" cy="5162550"/>
    <xdr:graphicFrame>
      <xdr:nvGraphicFramePr>
        <xdr:cNvPr id="1117450614"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M101" displayName="TaskProgressTable" name="TaskProgressTable" id="1">
  <tableColumns count="13">
    <tableColumn name="Task ID" id="1"/>
    <tableColumn name="Reporting Phase" id="2"/>
    <tableColumn name="Activity" id="3"/>
    <tableColumn name="Task Description" id="4"/>
    <tableColumn name="Assigned Student" id="5"/>
    <tableColumn name="Start Date" id="6"/>
    <tableColumn name="Due Date" id="7"/>
    <tableColumn name="Status" id="8"/>
    <tableColumn name="% Complete" id="9"/>
    <tableColumn name="Evidence / Link" id="10"/>
    <tableColumn name="Verified by Group" id="11"/>
    <tableColumn name="Lecturer Comment" id="12"/>
    <tableColumn name="Progress Flag" id="13"/>
  </tableColumns>
  <tableStyleInfo name="Task Progress-style" showColumnStripes="0" showFirstColumn="1" showLastColumn="1" showRowStripes="1"/>
</table>
</file>

<file path=xl/tables/table2.xml><?xml version="1.0" encoding="utf-8"?>
<table xmlns="http://schemas.openxmlformats.org/spreadsheetml/2006/main" ref="A2:L201" displayName="IndividualContributionsTable" name="IndividualContributionsTable" id="2">
  <tableColumns count="12">
    <tableColumn name="Student Name" id="1"/>
    <tableColumn name="Student Number" id="2"/>
    <tableColumn name="Reporting Phase" id="3"/>
    <tableColumn name="Activity" id="4"/>
    <tableColumn name="Assigned Responsibility" id="5"/>
    <tableColumn name="Work Personally Completed" id="6"/>
    <tableColumn name="Date Completed" id="7"/>
    <tableColumn name="Hours Spent" id="8"/>
    <tableColumn name="Evidence / Link" id="9"/>
    <tableColumn name="Verified by Group" id="10"/>
    <tableColumn name="Verification Date" id="11"/>
    <tableColumn name="Notes" id="12"/>
  </tableColumns>
  <tableStyleInfo name="Individual Contributions-style" showColumnStripes="0" showFirstColumn="1" showLastColumn="1" showRowStripes="1"/>
</table>
</file>

<file path=xl/tables/table3.xml><?xml version="1.0" encoding="utf-8"?>
<table xmlns="http://schemas.openxmlformats.org/spreadsheetml/2006/main" ref="A2:I101" displayName="StakeholderEngagementTable" name="StakeholderEngagementTable" id="3">
  <tableColumns count="9">
    <tableColumn name="Date" id="1"/>
    <tableColumn name="Reporting Phase" id="2"/>
    <tableColumn name="Type of Engagement" id="3"/>
    <tableColumn name="Purpose" id="4"/>
    <tableColumn name="Students Present" id="5"/>
    <tableColumn name="Stakeholder Present / Role" id="6"/>
    <tableColumn name="Main Findings" id="7"/>
    <tableColumn name="Action Required" id="8"/>
    <tableColumn name="Evidence / Link" id="9"/>
  </tableColumns>
  <tableStyleInfo name="Stakeholder Engagement-style" showColumnStripes="0" showFirstColumn="1" showLastColumn="1" showRowStripes="1"/>
</table>
</file>

<file path=xl/tables/table4.xml><?xml version="1.0" encoding="utf-8"?>
<table xmlns="http://schemas.openxmlformats.org/spreadsheetml/2006/main" ref="A2:H101" displayName="ChallengesActionsTable" name="ChallengesActionsTable" id="4">
  <tableColumns count="8">
    <tableColumn name="Date Identified" id="1"/>
    <tableColumn name="Reporting Phase" id="2"/>
    <tableColumn name="Challenge" id="3"/>
    <tableColumn name="Effect on Progress" id="4"/>
    <tableColumn name="Corrective Action" id="5"/>
    <tableColumn name="Responsible Student" id="6"/>
    <tableColumn name="Target Date" id="7"/>
    <tableColumn name="Status" id="8"/>
  </tableColumns>
  <tableStyleInfo name="Challenges &amp; Ac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Ws_NFfjwXDX7jKYBl-2WGvVMxss9IkO6/view?usp=drive_link" TargetMode="External"/><Relationship Id="rId10" Type="http://schemas.openxmlformats.org/officeDocument/2006/relationships/hyperlink" Target="https://drive.google.com/file/d/1Ws_NFfjwXDX7jKYBl-2WGvVMxss9IkO6/view?usp=drive_link" TargetMode="External"/><Relationship Id="rId21" Type="http://schemas.openxmlformats.org/officeDocument/2006/relationships/table" Target="../tables/table1.xml"/><Relationship Id="rId13" Type="http://schemas.openxmlformats.org/officeDocument/2006/relationships/hyperlink" Target="https://drive.google.com/file/d/1Ws_NFfjwXDX7jKYBl-2WGvVMxss9IkO6/view?usp=drive_link" TargetMode="External"/><Relationship Id="rId12" Type="http://schemas.openxmlformats.org/officeDocument/2006/relationships/hyperlink" Target="https://drive.google.com/file/d/1Ws_NFfjwXDX7jKYBl-2WGvVMxss9IkO6/view?usp=drive_link" TargetMode="External"/><Relationship Id="rId1" Type="http://schemas.openxmlformats.org/officeDocument/2006/relationships/hyperlink" Target="https://drive.google.com/file/d/1DHFL3cmnAuJeDfuU8P6dXg5thyMRsKfP/view?usp=drive_link" TargetMode="External"/><Relationship Id="rId2" Type="http://schemas.openxmlformats.org/officeDocument/2006/relationships/hyperlink" Target="https://drive.google.com/file/d/1DHFL3cmnAuJeDfuU8P6dXg5thyMRsKfP/view?usp=drive_link" TargetMode="External"/><Relationship Id="rId3" Type="http://schemas.openxmlformats.org/officeDocument/2006/relationships/hyperlink" Target="https://drive.google.com/file/d/1DHFL3cmnAuJeDfuU8P6dXg5thyMRsKfP/view?usp=drive_link" TargetMode="External"/><Relationship Id="rId4" Type="http://schemas.openxmlformats.org/officeDocument/2006/relationships/hyperlink" Target="https://drive.google.com/file/d/1a9ohC75e_lkrVOeiqgUesd9gn_IMWeh0/view?usp=drive_link" TargetMode="External"/><Relationship Id="rId9" Type="http://schemas.openxmlformats.org/officeDocument/2006/relationships/hyperlink" Target="https://drive.google.com/file/d/1Ws_NFfjwXDX7jKYBl-2WGvVMxss9IkO6/view?usp=drive_link" TargetMode="External"/><Relationship Id="rId15" Type="http://schemas.openxmlformats.org/officeDocument/2006/relationships/hyperlink" Target="https://drive.google.com/file/d/1Ws_NFfjwXDX7jKYBl-2WGvVMxss9IkO6/view?usp=drive_link" TargetMode="External"/><Relationship Id="rId14" Type="http://schemas.openxmlformats.org/officeDocument/2006/relationships/hyperlink" Target="https://drive.google.com/file/d/1Ws_NFfjwXDX7jKYBl-2WGvVMxss9IkO6/view?usp=drive_link" TargetMode="External"/><Relationship Id="rId17" Type="http://schemas.openxmlformats.org/officeDocument/2006/relationships/hyperlink" Target="https://drive.google.com/file/d/1eSxQQmAvfjtpAtxkjB1EnGGqUQSXxQYC/view?usp=drive_link" TargetMode="External"/><Relationship Id="rId16" Type="http://schemas.openxmlformats.org/officeDocument/2006/relationships/hyperlink" Target="https://drive.google.com/file/d/1Ws_NFfjwXDX7jKYBl-2WGvVMxss9IkO6/view?usp=drive_link" TargetMode="External"/><Relationship Id="rId5" Type="http://schemas.openxmlformats.org/officeDocument/2006/relationships/hyperlink" Target="https://drive.google.com/file/d/1RwZHgUie9JH5tvu8RAPm_DoGOhvSCe2I/view?usp=drive_link" TargetMode="External"/><Relationship Id="rId19" Type="http://schemas.openxmlformats.org/officeDocument/2006/relationships/drawing" Target="../drawings/drawing3.xml"/><Relationship Id="rId6" Type="http://schemas.openxmlformats.org/officeDocument/2006/relationships/hyperlink" Target="https://drive.google.com/file/d/1DHFL3cmnAuJeDfuU8P6dXg5thyMRsKfP/view?usp=drive_link" TargetMode="External"/><Relationship Id="rId18" Type="http://schemas.openxmlformats.org/officeDocument/2006/relationships/hyperlink" Target="https://drive.google.com/file/d/1DHFL3cmnAuJeDfuU8P6dXg5thyMRsKfP/view?usp=drive_link" TargetMode="External"/><Relationship Id="rId7" Type="http://schemas.openxmlformats.org/officeDocument/2006/relationships/hyperlink" Target="https://github.com/Wil-Project-CUT" TargetMode="External"/><Relationship Id="rId8" Type="http://schemas.openxmlformats.org/officeDocument/2006/relationships/hyperlink" Target="https://vpjctulupuqhwsyasekz.supabase.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RwZHgUie9JH5tvu8RAPm_DoGOhvSCe2I/view?usp=drive_link" TargetMode="External"/><Relationship Id="rId2" Type="http://schemas.openxmlformats.org/officeDocument/2006/relationships/hyperlink" Target="https://drive.google.com/file/d/1aDteQWN8YmalnJGNM-C_eJS_V-85uJSH/view?usp=drive_link" TargetMode="External"/><Relationship Id="rId3" Type="http://schemas.openxmlformats.org/officeDocument/2006/relationships/drawing" Target="../drawings/drawing5.xml"/><Relationship Id="rId5"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48.0"/>
    <col customWidth="1" min="3" max="3" width="3.0"/>
    <col customWidth="1" min="4" max="4" width="10.0"/>
    <col customWidth="1" min="5" max="5" width="54.0"/>
    <col customWidth="1" min="6" max="8" width="12.0"/>
    <col customWidth="1" min="9" max="26" width="8.63"/>
  </cols>
  <sheetData>
    <row r="1" ht="30.0" customHeight="1">
      <c r="A1" s="1" t="s">
        <v>0</v>
      </c>
      <c r="B1" s="2"/>
      <c r="C1" s="2"/>
      <c r="D1" s="2"/>
      <c r="E1" s="2"/>
      <c r="F1" s="2"/>
      <c r="G1" s="2"/>
      <c r="H1" s="3"/>
    </row>
    <row r="2" ht="13.5" customHeight="1"/>
    <row r="3" ht="42.0" customHeight="1">
      <c r="A3" s="4" t="s">
        <v>1</v>
      </c>
      <c r="B3" s="2"/>
      <c r="C3" s="2"/>
      <c r="D3" s="2"/>
      <c r="E3" s="2"/>
      <c r="F3" s="2"/>
      <c r="G3" s="2"/>
      <c r="H3" s="3"/>
    </row>
    <row r="4" ht="13.5" customHeight="1"/>
    <row r="5" ht="13.5" customHeight="1">
      <c r="A5" s="5" t="s">
        <v>2</v>
      </c>
      <c r="B5" s="5" t="s">
        <v>3</v>
      </c>
      <c r="D5" s="6" t="s">
        <v>4</v>
      </c>
      <c r="E5" s="2"/>
      <c r="F5" s="2"/>
      <c r="G5" s="2"/>
      <c r="H5" s="3"/>
    </row>
    <row r="6" ht="33.75" customHeight="1">
      <c r="A6" s="7" t="s">
        <v>5</v>
      </c>
      <c r="B6" s="8" t="s">
        <v>6</v>
      </c>
      <c r="D6" s="7" t="s">
        <v>7</v>
      </c>
      <c r="E6" s="8" t="s">
        <v>8</v>
      </c>
    </row>
    <row r="7" ht="33.75" customHeight="1">
      <c r="A7" s="7" t="s">
        <v>9</v>
      </c>
      <c r="B7" s="8" t="s">
        <v>10</v>
      </c>
      <c r="D7" s="7" t="s">
        <v>11</v>
      </c>
      <c r="E7" s="8" t="s">
        <v>12</v>
      </c>
    </row>
    <row r="8" ht="33.75" customHeight="1">
      <c r="A8" s="7" t="s">
        <v>13</v>
      </c>
      <c r="B8" s="8" t="s">
        <v>14</v>
      </c>
      <c r="D8" s="7" t="s">
        <v>15</v>
      </c>
      <c r="E8" s="8" t="s">
        <v>16</v>
      </c>
    </row>
    <row r="9" ht="33.75" customHeight="1">
      <c r="A9" s="7" t="s">
        <v>17</v>
      </c>
      <c r="B9" s="8" t="s">
        <v>18</v>
      </c>
      <c r="D9" s="7" t="s">
        <v>19</v>
      </c>
      <c r="E9" s="8" t="s">
        <v>20</v>
      </c>
    </row>
    <row r="10" ht="33.75" customHeight="1">
      <c r="A10" s="7" t="s">
        <v>21</v>
      </c>
      <c r="B10" s="8" t="s">
        <v>22</v>
      </c>
      <c r="D10" s="7" t="s">
        <v>23</v>
      </c>
      <c r="E10" s="8" t="s">
        <v>24</v>
      </c>
    </row>
    <row r="11" ht="33.75" customHeight="1">
      <c r="A11" s="7" t="s">
        <v>25</v>
      </c>
      <c r="B11" s="8" t="s">
        <v>26</v>
      </c>
      <c r="D11" s="7" t="s">
        <v>27</v>
      </c>
      <c r="E11" s="8" t="s">
        <v>28</v>
      </c>
    </row>
    <row r="12" ht="13.5" customHeight="1">
      <c r="A12" s="7" t="s">
        <v>29</v>
      </c>
      <c r="B12" s="8" t="s">
        <v>30</v>
      </c>
    </row>
    <row r="13" ht="13.5" customHeight="1">
      <c r="D13" s="6" t="s">
        <v>31</v>
      </c>
      <c r="E13" s="2"/>
      <c r="F13" s="2"/>
      <c r="G13" s="2"/>
      <c r="H13" s="3"/>
    </row>
    <row r="14" ht="13.5" customHeight="1">
      <c r="D14" s="7" t="s">
        <v>34</v>
      </c>
      <c r="E14" s="8" t="s">
        <v>35</v>
      </c>
    </row>
    <row r="15" ht="13.5" customHeight="1">
      <c r="D15" s="7" t="s">
        <v>36</v>
      </c>
      <c r="E15" s="8" t="s">
        <v>37</v>
      </c>
    </row>
    <row r="16" ht="13.5" customHeight="1">
      <c r="D16" s="7" t="s">
        <v>38</v>
      </c>
      <c r="E16" s="8" t="s">
        <v>39</v>
      </c>
    </row>
    <row r="17" ht="13.5" customHeight="1">
      <c r="D17" s="7" t="s">
        <v>42</v>
      </c>
      <c r="E17" s="8" t="s">
        <v>43</v>
      </c>
    </row>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A1:H1"/>
    <mergeCell ref="A3:H3"/>
    <mergeCell ref="D5:H5"/>
    <mergeCell ref="D13:H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42.0"/>
    <col customWidth="1" min="3" max="5" width="3.0"/>
    <col customWidth="1" min="6" max="6" width="26.0"/>
    <col customWidth="1" min="7" max="7" width="12.0"/>
    <col customWidth="1" min="8" max="8" width="3.0"/>
    <col customWidth="1" min="9" max="12" width="12.0"/>
    <col customWidth="1" min="13" max="26" width="8.63"/>
  </cols>
  <sheetData>
    <row r="1" ht="30.0" customHeight="1">
      <c r="A1" s="1" t="s">
        <v>74</v>
      </c>
      <c r="B1" s="2"/>
      <c r="C1" s="2"/>
      <c r="D1" s="2"/>
      <c r="E1" s="2"/>
      <c r="F1" s="2"/>
      <c r="G1" s="2"/>
      <c r="H1" s="2"/>
      <c r="I1" s="2"/>
      <c r="J1" s="2"/>
      <c r="K1" s="2"/>
      <c r="L1" s="3"/>
    </row>
    <row r="2" ht="13.5" customHeight="1"/>
    <row r="3" ht="13.5" customHeight="1">
      <c r="A3" s="5" t="s">
        <v>79</v>
      </c>
      <c r="B3" s="5" t="s">
        <v>80</v>
      </c>
      <c r="F3" s="5" t="s">
        <v>81</v>
      </c>
      <c r="G3" s="5" t="s">
        <v>82</v>
      </c>
    </row>
    <row r="4" ht="27.75" customHeight="1">
      <c r="A4" s="7" t="s">
        <v>84</v>
      </c>
      <c r="B4" s="15" t="s">
        <v>85</v>
      </c>
      <c r="F4" s="7" t="s">
        <v>69</v>
      </c>
      <c r="G4" s="16">
        <f>COUNTIF('Task Progress'!H2:H101,"Completed")</f>
        <v>20</v>
      </c>
    </row>
    <row r="5" ht="27.75" customHeight="1">
      <c r="A5" s="7" t="s">
        <v>88</v>
      </c>
      <c r="B5" s="15" t="s">
        <v>89</v>
      </c>
      <c r="F5" s="7" t="s">
        <v>91</v>
      </c>
      <c r="G5" s="16">
        <f>COUNTIF('Task Progress'!H2:H101,"In Progress")</f>
        <v>2</v>
      </c>
    </row>
    <row r="6" ht="27.75" customHeight="1">
      <c r="A6" s="7" t="s">
        <v>94</v>
      </c>
      <c r="B6" s="15" t="s">
        <v>95</v>
      </c>
      <c r="F6" s="7" t="s">
        <v>96</v>
      </c>
      <c r="G6" s="16">
        <f>COUNTIF('Task Progress'!H2:H101,"Not Started")</f>
        <v>0</v>
      </c>
    </row>
    <row r="7" ht="27.75" customHeight="1">
      <c r="A7" s="7" t="s">
        <v>98</v>
      </c>
      <c r="B7" s="15"/>
      <c r="F7" s="7" t="s">
        <v>99</v>
      </c>
      <c r="G7" s="16">
        <f>COUNTIF('Task Progress'!H2:H101,"Delayed")</f>
        <v>0</v>
      </c>
    </row>
    <row r="8" ht="27.75" customHeight="1">
      <c r="A8" s="7" t="s">
        <v>100</v>
      </c>
      <c r="B8" s="15" t="s">
        <v>34</v>
      </c>
      <c r="F8" s="7" t="s">
        <v>103</v>
      </c>
      <c r="G8" s="16">
        <f>COUNTIF('Task Progress'!H2:H101,"Blocked")</f>
        <v>0</v>
      </c>
    </row>
    <row r="9" ht="27.75" customHeight="1">
      <c r="A9" s="7" t="s">
        <v>106</v>
      </c>
      <c r="B9" s="15"/>
      <c r="F9" s="7" t="s">
        <v>107</v>
      </c>
      <c r="G9" s="16">
        <f>COUNTIF('Task Progress'!M2:M101,"Overdue")</f>
        <v>0</v>
      </c>
    </row>
    <row r="10" ht="27.75" customHeight="1">
      <c r="A10" s="7" t="s">
        <v>110</v>
      </c>
      <c r="B10" s="15" t="s">
        <v>96</v>
      </c>
    </row>
    <row r="11" ht="27.75" customHeight="1">
      <c r="A11" s="7" t="s">
        <v>112</v>
      </c>
      <c r="B11" s="17">
        <f>IFERROR(SUM('Task Progress'!I2:I101)/COUNTIF('Task Progress'!D2:D101,"&lt;&gt;")/100,0)</f>
        <v>0.9239130435</v>
      </c>
      <c r="F11" s="5" t="s">
        <v>116</v>
      </c>
      <c r="G11" s="5" t="s">
        <v>82</v>
      </c>
    </row>
    <row r="12" ht="48.0" customHeight="1">
      <c r="A12" s="7" t="s">
        <v>117</v>
      </c>
      <c r="B12" s="15"/>
      <c r="F12" s="7" t="s">
        <v>119</v>
      </c>
      <c r="G12" s="16">
        <f>COUNTIF('Individual Contributions'!E3:E201,"?*")</f>
        <v>0</v>
      </c>
    </row>
    <row r="13" ht="48.0" customHeight="1">
      <c r="A13" s="7" t="s">
        <v>122</v>
      </c>
      <c r="B13" s="15"/>
      <c r="F13" s="7" t="s">
        <v>124</v>
      </c>
      <c r="G13" s="16">
        <f>COUNTIFS('Individual Contributions'!E3:E201,"?*",'Individual Contributions'!J3:J201,"Yes")</f>
        <v>0</v>
      </c>
    </row>
    <row r="14" ht="48.0" customHeight="1">
      <c r="A14" s="7" t="s">
        <v>126</v>
      </c>
      <c r="B14" s="15"/>
      <c r="F14" s="7" t="s">
        <v>128</v>
      </c>
      <c r="G14" s="16">
        <f>COUNTIFS('Individual Contributions'!E3:E201,"?*",'Individual Contributions'!J3:J201,"No")</f>
        <v>0</v>
      </c>
    </row>
    <row r="15" ht="13.5" customHeight="1">
      <c r="F15" s="7" t="s">
        <v>133</v>
      </c>
      <c r="G15" s="16">
        <f>COUNT('Stakeholder Engagement'!A3:A101)</f>
        <v>2</v>
      </c>
    </row>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L1"/>
  </mergeCells>
  <dataValidations>
    <dataValidation type="list" allowBlank="1" sqref="B8">
      <formula1>"Unit 1 / Phase 1,Phase 2,Phase 3,Final"</formula1>
    </dataValidation>
    <dataValidation type="list" allowBlank="1" sqref="B10">
      <formula1>"Not Started,In Progress,Completed,Delayed,Blocked"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19.0"/>
    <col customWidth="1" min="3" max="3" width="15.0"/>
    <col customWidth="1" min="4" max="4" width="38.0"/>
    <col customWidth="1" min="5" max="5" width="24.0"/>
    <col customWidth="1" min="6" max="7" width="12.0"/>
    <col customWidth="1" min="8" max="8" width="15.0"/>
    <col customWidth="1" min="9" max="9" width="12.0"/>
    <col customWidth="1" min="10" max="10" width="34.0"/>
    <col customWidth="1" min="11" max="11" width="16.0"/>
    <col customWidth="1" min="12" max="12" width="32.0"/>
    <col customWidth="1" min="13" max="13" width="14.0"/>
    <col customWidth="1" min="14" max="26" width="8.63"/>
  </cols>
  <sheetData>
    <row r="1" ht="30.0" customHeight="1">
      <c r="A1" s="1" t="s">
        <v>33</v>
      </c>
      <c r="B1" s="2"/>
      <c r="C1" s="2"/>
      <c r="D1" s="2"/>
      <c r="E1" s="2"/>
      <c r="F1" s="2"/>
      <c r="G1" s="2"/>
      <c r="H1" s="2"/>
      <c r="I1" s="2"/>
      <c r="J1" s="2"/>
      <c r="K1" s="2"/>
      <c r="L1" s="2"/>
      <c r="M1" s="3"/>
    </row>
    <row r="2" ht="13.5" customHeight="1">
      <c r="A2" s="9" t="s">
        <v>40</v>
      </c>
      <c r="B2" s="9" t="s">
        <v>44</v>
      </c>
      <c r="C2" s="9" t="s">
        <v>46</v>
      </c>
      <c r="D2" s="9" t="s">
        <v>47</v>
      </c>
      <c r="E2" s="9" t="s">
        <v>49</v>
      </c>
      <c r="F2" s="9" t="s">
        <v>50</v>
      </c>
      <c r="G2" s="9" t="s">
        <v>52</v>
      </c>
      <c r="H2" s="9" t="s">
        <v>54</v>
      </c>
      <c r="I2" s="9" t="s">
        <v>56</v>
      </c>
      <c r="J2" s="9" t="s">
        <v>57</v>
      </c>
      <c r="K2" s="9" t="s">
        <v>58</v>
      </c>
      <c r="L2" s="9" t="s">
        <v>59</v>
      </c>
      <c r="M2" s="9" t="s">
        <v>60</v>
      </c>
    </row>
    <row r="3" ht="13.5" customHeight="1">
      <c r="A3" s="10" t="s">
        <v>62</v>
      </c>
      <c r="B3" s="10" t="s">
        <v>34</v>
      </c>
      <c r="C3" s="10" t="s">
        <v>65</v>
      </c>
      <c r="D3" s="10" t="s">
        <v>66</v>
      </c>
      <c r="E3" s="10" t="s">
        <v>67</v>
      </c>
      <c r="F3" s="11">
        <v>46252.0</v>
      </c>
      <c r="G3" s="11">
        <v>46255.0</v>
      </c>
      <c r="H3" s="10" t="s">
        <v>69</v>
      </c>
      <c r="I3" s="12">
        <v>100.0</v>
      </c>
      <c r="J3" s="14" t="s">
        <v>70</v>
      </c>
      <c r="K3" s="10" t="s">
        <v>71</v>
      </c>
      <c r="L3" s="10"/>
      <c r="M3" s="10" t="str">
        <f t="shared" ref="M3:M101" si="1">IF(D3="","",IF(H3="Completed","Completed",IF(H3="Blocked","Blocked",IF(H3="Delayed","Delayed",IF(AND(G3&lt;&gt;"",G3&lt;TODAY(),H3&lt;&gt;"Completed"),"Overdue","On Track")))))</f>
        <v>Completed</v>
      </c>
    </row>
    <row r="4" ht="13.5" customHeight="1">
      <c r="A4" s="10" t="s">
        <v>75</v>
      </c>
      <c r="B4" s="10" t="s">
        <v>34</v>
      </c>
      <c r="C4" s="10" t="s">
        <v>65</v>
      </c>
      <c r="D4" s="10" t="s">
        <v>77</v>
      </c>
      <c r="E4" s="10" t="s">
        <v>78</v>
      </c>
      <c r="F4" s="11">
        <v>46257.0</v>
      </c>
      <c r="G4" s="11">
        <v>46258.0</v>
      </c>
      <c r="H4" s="10" t="s">
        <v>69</v>
      </c>
      <c r="I4" s="12">
        <v>100.0</v>
      </c>
      <c r="J4" s="14" t="s">
        <v>70</v>
      </c>
      <c r="K4" s="10" t="s">
        <v>71</v>
      </c>
      <c r="L4" s="10"/>
      <c r="M4" s="10" t="str">
        <f t="shared" si="1"/>
        <v>Completed</v>
      </c>
    </row>
    <row r="5" ht="13.5" customHeight="1">
      <c r="A5" s="10" t="s">
        <v>86</v>
      </c>
      <c r="B5" s="10" t="s">
        <v>34</v>
      </c>
      <c r="C5" s="10" t="s">
        <v>65</v>
      </c>
      <c r="D5" s="10" t="s">
        <v>87</v>
      </c>
      <c r="E5" s="10" t="s">
        <v>78</v>
      </c>
      <c r="F5" s="11">
        <v>46257.0</v>
      </c>
      <c r="G5" s="11">
        <v>46258.0</v>
      </c>
      <c r="H5" s="10" t="s">
        <v>69</v>
      </c>
      <c r="I5" s="12">
        <v>100.0</v>
      </c>
      <c r="J5" s="14" t="s">
        <v>70</v>
      </c>
      <c r="K5" s="10" t="s">
        <v>71</v>
      </c>
      <c r="L5" s="10"/>
      <c r="M5" s="10" t="str">
        <f t="shared" si="1"/>
        <v>Completed</v>
      </c>
    </row>
    <row r="6" ht="13.5" customHeight="1">
      <c r="A6" s="10" t="s">
        <v>90</v>
      </c>
      <c r="B6" s="10" t="s">
        <v>34</v>
      </c>
      <c r="C6" s="10" t="s">
        <v>92</v>
      </c>
      <c r="D6" s="10" t="s">
        <v>76</v>
      </c>
      <c r="E6" s="10" t="s">
        <v>93</v>
      </c>
      <c r="F6" s="11">
        <v>46256.0</v>
      </c>
      <c r="G6" s="11">
        <v>46287.0</v>
      </c>
      <c r="H6" s="10" t="s">
        <v>69</v>
      </c>
      <c r="I6" s="12">
        <v>100.0</v>
      </c>
      <c r="J6" s="14" t="s">
        <v>97</v>
      </c>
      <c r="K6" s="10" t="s">
        <v>71</v>
      </c>
      <c r="L6" s="10"/>
      <c r="M6" s="10" t="str">
        <f t="shared" si="1"/>
        <v>Completed</v>
      </c>
    </row>
    <row r="7" ht="13.5" customHeight="1">
      <c r="A7" s="10" t="s">
        <v>102</v>
      </c>
      <c r="B7" s="10" t="s">
        <v>34</v>
      </c>
      <c r="C7" s="10" t="s">
        <v>92</v>
      </c>
      <c r="D7" s="10" t="s">
        <v>104</v>
      </c>
      <c r="E7" s="10" t="s">
        <v>105</v>
      </c>
      <c r="F7" s="11">
        <v>46257.0</v>
      </c>
      <c r="G7" s="11">
        <v>46257.0</v>
      </c>
      <c r="H7" s="10" t="s">
        <v>69</v>
      </c>
      <c r="I7" s="12">
        <v>100.0</v>
      </c>
      <c r="J7" s="14" t="s">
        <v>109</v>
      </c>
      <c r="K7" s="10" t="s">
        <v>71</v>
      </c>
      <c r="L7" s="10"/>
      <c r="M7" s="10" t="str">
        <f t="shared" si="1"/>
        <v>Completed</v>
      </c>
    </row>
    <row r="8" ht="13.5" customHeight="1">
      <c r="A8" s="10" t="s">
        <v>113</v>
      </c>
      <c r="B8" s="10" t="s">
        <v>34</v>
      </c>
      <c r="C8" s="10" t="s">
        <v>114</v>
      </c>
      <c r="D8" s="10" t="s">
        <v>68</v>
      </c>
      <c r="E8" s="10" t="s">
        <v>115</v>
      </c>
      <c r="F8" s="11">
        <v>46259.0</v>
      </c>
      <c r="G8" s="11">
        <v>46259.0</v>
      </c>
      <c r="H8" s="10" t="s">
        <v>69</v>
      </c>
      <c r="I8" s="12">
        <v>100.0</v>
      </c>
      <c r="J8" s="14" t="s">
        <v>70</v>
      </c>
      <c r="K8" s="10" t="s">
        <v>71</v>
      </c>
      <c r="L8" s="10"/>
      <c r="M8" s="10" t="str">
        <f t="shared" si="1"/>
        <v>Completed</v>
      </c>
    </row>
    <row r="9" ht="13.5" customHeight="1">
      <c r="A9" s="10" t="s">
        <v>120</v>
      </c>
      <c r="B9" s="10" t="s">
        <v>34</v>
      </c>
      <c r="C9" s="10" t="s">
        <v>114</v>
      </c>
      <c r="D9" s="10" t="s">
        <v>101</v>
      </c>
      <c r="E9" s="10" t="s">
        <v>78</v>
      </c>
      <c r="F9" s="11">
        <v>46260.0</v>
      </c>
      <c r="G9" s="11">
        <v>46260.0</v>
      </c>
      <c r="H9" s="10" t="s">
        <v>69</v>
      </c>
      <c r="I9" s="12">
        <v>100.0</v>
      </c>
      <c r="J9" s="10"/>
      <c r="K9" s="10" t="s">
        <v>71</v>
      </c>
      <c r="L9" s="10"/>
      <c r="M9" s="10" t="str">
        <f t="shared" si="1"/>
        <v>Completed</v>
      </c>
    </row>
    <row r="10" ht="13.5" customHeight="1">
      <c r="A10" s="10" t="s">
        <v>127</v>
      </c>
      <c r="B10" s="10" t="s">
        <v>34</v>
      </c>
      <c r="C10" s="10" t="s">
        <v>114</v>
      </c>
      <c r="D10" s="10" t="s">
        <v>111</v>
      </c>
      <c r="E10" s="10" t="s">
        <v>130</v>
      </c>
      <c r="F10" s="11">
        <v>46258.0</v>
      </c>
      <c r="G10" s="11">
        <v>46258.0</v>
      </c>
      <c r="H10" s="10" t="s">
        <v>69</v>
      </c>
      <c r="I10" s="12">
        <v>100.0</v>
      </c>
      <c r="J10" s="14" t="s">
        <v>134</v>
      </c>
      <c r="K10" s="10" t="s">
        <v>71</v>
      </c>
      <c r="L10" s="10"/>
      <c r="M10" s="10" t="str">
        <f t="shared" si="1"/>
        <v>Completed</v>
      </c>
    </row>
    <row r="11" ht="13.5" customHeight="1">
      <c r="A11" s="10" t="s">
        <v>136</v>
      </c>
      <c r="B11" s="10" t="s">
        <v>34</v>
      </c>
      <c r="C11" s="10" t="s">
        <v>114</v>
      </c>
      <c r="D11" s="10" t="s">
        <v>123</v>
      </c>
      <c r="E11" s="10" t="s">
        <v>130</v>
      </c>
      <c r="F11" s="11">
        <v>46258.0</v>
      </c>
      <c r="G11" s="11">
        <v>46258.0</v>
      </c>
      <c r="H11" s="10" t="s">
        <v>69</v>
      </c>
      <c r="I11" s="12">
        <v>100.0</v>
      </c>
      <c r="J11" s="14" t="s">
        <v>139</v>
      </c>
      <c r="K11" s="10" t="s">
        <v>71</v>
      </c>
      <c r="L11" s="10"/>
      <c r="M11" s="10" t="str">
        <f t="shared" si="1"/>
        <v>Completed</v>
      </c>
    </row>
    <row r="12" ht="13.5" customHeight="1">
      <c r="A12" s="10" t="s">
        <v>144</v>
      </c>
      <c r="B12" s="10" t="s">
        <v>34</v>
      </c>
      <c r="C12" s="10" t="s">
        <v>114</v>
      </c>
      <c r="D12" s="10" t="s">
        <v>145</v>
      </c>
      <c r="E12" s="10"/>
      <c r="F12" s="11"/>
      <c r="G12" s="11"/>
      <c r="H12" s="10" t="s">
        <v>91</v>
      </c>
      <c r="I12" s="12">
        <v>50.0</v>
      </c>
      <c r="J12" s="10"/>
      <c r="K12" s="10" t="s">
        <v>71</v>
      </c>
      <c r="L12" s="10"/>
      <c r="M12" s="10" t="str">
        <f t="shared" si="1"/>
        <v>On Track</v>
      </c>
    </row>
    <row r="13" ht="13.5" customHeight="1">
      <c r="A13" s="10" t="s">
        <v>146</v>
      </c>
      <c r="B13" s="10" t="s">
        <v>34</v>
      </c>
      <c r="C13" s="10" t="s">
        <v>114</v>
      </c>
      <c r="D13" s="10" t="s">
        <v>147</v>
      </c>
      <c r="E13" s="10"/>
      <c r="F13" s="11"/>
      <c r="G13" s="11"/>
      <c r="H13" s="21" t="s">
        <v>69</v>
      </c>
      <c r="I13" s="22">
        <v>100.0</v>
      </c>
      <c r="J13" s="21" t="s">
        <v>149</v>
      </c>
      <c r="K13" s="10" t="s">
        <v>71</v>
      </c>
      <c r="L13" s="10"/>
      <c r="M13" s="10" t="str">
        <f t="shared" si="1"/>
        <v>Completed</v>
      </c>
    </row>
    <row r="14" ht="13.5" customHeight="1">
      <c r="A14" s="18" t="s">
        <v>151</v>
      </c>
      <c r="B14" s="10" t="s">
        <v>153</v>
      </c>
      <c r="C14" s="10" t="s">
        <v>154</v>
      </c>
      <c r="D14" s="10" t="s">
        <v>155</v>
      </c>
      <c r="E14" s="10" t="s">
        <v>157</v>
      </c>
      <c r="F14" s="11">
        <v>46265.0</v>
      </c>
      <c r="G14" s="11">
        <v>46266.0</v>
      </c>
      <c r="H14" s="10" t="s">
        <v>69</v>
      </c>
      <c r="I14" s="12">
        <v>100.0</v>
      </c>
      <c r="J14" s="14" t="s">
        <v>158</v>
      </c>
      <c r="K14" s="10" t="s">
        <v>71</v>
      </c>
      <c r="L14" s="10"/>
      <c r="M14" s="10" t="str">
        <f t="shared" si="1"/>
        <v>Completed</v>
      </c>
    </row>
    <row r="15" ht="13.5" customHeight="1">
      <c r="A15" s="18" t="s">
        <v>159</v>
      </c>
      <c r="B15" s="10" t="s">
        <v>153</v>
      </c>
      <c r="C15" s="10" t="s">
        <v>154</v>
      </c>
      <c r="D15" s="10" t="s">
        <v>160</v>
      </c>
      <c r="E15" s="10" t="s">
        <v>67</v>
      </c>
      <c r="F15" s="11">
        <v>46265.0</v>
      </c>
      <c r="G15" s="11">
        <v>46266.0</v>
      </c>
      <c r="H15" s="10" t="s">
        <v>69</v>
      </c>
      <c r="I15" s="12">
        <v>100.0</v>
      </c>
      <c r="J15" s="14" t="s">
        <v>158</v>
      </c>
      <c r="K15" s="10" t="s">
        <v>71</v>
      </c>
      <c r="L15" s="10"/>
      <c r="M15" s="10" t="str">
        <f t="shared" si="1"/>
        <v>Completed</v>
      </c>
    </row>
    <row r="16" ht="13.5" customHeight="1">
      <c r="A16" s="18" t="s">
        <v>161</v>
      </c>
      <c r="B16" s="10" t="s">
        <v>153</v>
      </c>
      <c r="C16" s="10" t="s">
        <v>154</v>
      </c>
      <c r="D16" s="10" t="s">
        <v>162</v>
      </c>
      <c r="E16" s="10" t="s">
        <v>163</v>
      </c>
      <c r="F16" s="11">
        <v>46265.0</v>
      </c>
      <c r="G16" s="11">
        <v>46266.0</v>
      </c>
      <c r="H16" s="10" t="s">
        <v>69</v>
      </c>
      <c r="I16" s="12">
        <v>100.0</v>
      </c>
      <c r="J16" s="14" t="s">
        <v>158</v>
      </c>
      <c r="K16" s="10" t="s">
        <v>71</v>
      </c>
      <c r="L16" s="10"/>
      <c r="M16" s="10" t="str">
        <f t="shared" si="1"/>
        <v>Completed</v>
      </c>
    </row>
    <row r="17" ht="13.5" customHeight="1">
      <c r="A17" s="18" t="s">
        <v>164</v>
      </c>
      <c r="B17" s="10" t="s">
        <v>153</v>
      </c>
      <c r="C17" s="10" t="s">
        <v>154</v>
      </c>
      <c r="D17" s="10" t="s">
        <v>165</v>
      </c>
      <c r="E17" s="10" t="s">
        <v>163</v>
      </c>
      <c r="F17" s="11">
        <v>46265.0</v>
      </c>
      <c r="G17" s="11">
        <v>46266.0</v>
      </c>
      <c r="H17" s="10" t="s">
        <v>69</v>
      </c>
      <c r="I17" s="12">
        <v>100.0</v>
      </c>
      <c r="J17" s="14" t="s">
        <v>158</v>
      </c>
      <c r="K17" s="10" t="s">
        <v>71</v>
      </c>
      <c r="L17" s="10"/>
      <c r="M17" s="10" t="str">
        <f t="shared" si="1"/>
        <v>Completed</v>
      </c>
    </row>
    <row r="18" ht="13.5" customHeight="1">
      <c r="A18" s="18" t="s">
        <v>166</v>
      </c>
      <c r="B18" s="10" t="s">
        <v>153</v>
      </c>
      <c r="C18" s="10" t="s">
        <v>154</v>
      </c>
      <c r="D18" s="10" t="s">
        <v>167</v>
      </c>
      <c r="E18" s="10" t="s">
        <v>163</v>
      </c>
      <c r="F18" s="11">
        <v>46265.0</v>
      </c>
      <c r="G18" s="11">
        <v>46266.0</v>
      </c>
      <c r="H18" s="10" t="s">
        <v>69</v>
      </c>
      <c r="I18" s="12">
        <v>100.0</v>
      </c>
      <c r="J18" s="14" t="s">
        <v>158</v>
      </c>
      <c r="K18" s="10" t="s">
        <v>71</v>
      </c>
      <c r="L18" s="10"/>
      <c r="M18" s="10" t="str">
        <f t="shared" si="1"/>
        <v>Completed</v>
      </c>
    </row>
    <row r="19" ht="13.5" customHeight="1">
      <c r="A19" s="18" t="s">
        <v>168</v>
      </c>
      <c r="B19" s="10" t="s">
        <v>153</v>
      </c>
      <c r="C19" s="10" t="s">
        <v>154</v>
      </c>
      <c r="D19" s="10" t="s">
        <v>169</v>
      </c>
      <c r="E19" s="10" t="s">
        <v>67</v>
      </c>
      <c r="F19" s="11">
        <v>46265.0</v>
      </c>
      <c r="G19" s="11">
        <v>46266.0</v>
      </c>
      <c r="H19" s="10" t="s">
        <v>69</v>
      </c>
      <c r="I19" s="12">
        <v>100.0</v>
      </c>
      <c r="J19" s="14" t="s">
        <v>158</v>
      </c>
      <c r="K19" s="10" t="s">
        <v>71</v>
      </c>
      <c r="L19" s="10"/>
      <c r="M19" s="10" t="str">
        <f t="shared" si="1"/>
        <v>Completed</v>
      </c>
    </row>
    <row r="20" ht="13.5" customHeight="1">
      <c r="A20" s="18" t="s">
        <v>170</v>
      </c>
      <c r="B20" s="10" t="s">
        <v>153</v>
      </c>
      <c r="C20" s="10" t="s">
        <v>154</v>
      </c>
      <c r="D20" s="10" t="s">
        <v>171</v>
      </c>
      <c r="E20" s="10" t="s">
        <v>163</v>
      </c>
      <c r="F20" s="11">
        <v>46265.0</v>
      </c>
      <c r="G20" s="11">
        <v>46266.0</v>
      </c>
      <c r="H20" s="10" t="s">
        <v>69</v>
      </c>
      <c r="I20" s="12">
        <v>100.0</v>
      </c>
      <c r="J20" s="14" t="s">
        <v>158</v>
      </c>
      <c r="K20" s="10" t="s">
        <v>71</v>
      </c>
      <c r="L20" s="10"/>
      <c r="M20" s="10" t="str">
        <f t="shared" si="1"/>
        <v>Completed</v>
      </c>
    </row>
    <row r="21" ht="13.5" customHeight="1">
      <c r="A21" s="18" t="s">
        <v>174</v>
      </c>
      <c r="B21" s="10" t="s">
        <v>153</v>
      </c>
      <c r="C21" s="10" t="s">
        <v>154</v>
      </c>
      <c r="D21" s="10" t="s">
        <v>176</v>
      </c>
      <c r="E21" s="10" t="s">
        <v>140</v>
      </c>
      <c r="F21" s="11">
        <v>46266.0</v>
      </c>
      <c r="G21" s="11">
        <v>46266.0</v>
      </c>
      <c r="H21" s="10" t="s">
        <v>69</v>
      </c>
      <c r="I21" s="12">
        <v>100.0</v>
      </c>
      <c r="J21" s="14" t="s">
        <v>158</v>
      </c>
      <c r="K21" s="10" t="s">
        <v>71</v>
      </c>
      <c r="L21" s="10"/>
      <c r="M21" s="10" t="str">
        <f t="shared" si="1"/>
        <v>Completed</v>
      </c>
    </row>
    <row r="22" ht="13.5" customHeight="1">
      <c r="A22" s="18" t="s">
        <v>182</v>
      </c>
      <c r="B22" s="10" t="s">
        <v>153</v>
      </c>
      <c r="C22" s="10" t="s">
        <v>183</v>
      </c>
      <c r="D22" s="10" t="s">
        <v>184</v>
      </c>
      <c r="E22" s="10" t="s">
        <v>185</v>
      </c>
      <c r="F22" s="11">
        <v>46260.0</v>
      </c>
      <c r="G22" s="11">
        <v>46262.0</v>
      </c>
      <c r="H22" s="10" t="s">
        <v>69</v>
      </c>
      <c r="I22" s="12">
        <v>100.0</v>
      </c>
      <c r="J22" s="14" t="s">
        <v>188</v>
      </c>
      <c r="K22" s="10" t="s">
        <v>71</v>
      </c>
      <c r="L22" s="10"/>
      <c r="M22" s="10" t="str">
        <f t="shared" si="1"/>
        <v>Completed</v>
      </c>
    </row>
    <row r="23" ht="13.5" customHeight="1">
      <c r="A23" s="18" t="s">
        <v>193</v>
      </c>
      <c r="B23" s="10" t="s">
        <v>153</v>
      </c>
      <c r="C23" s="10" t="s">
        <v>194</v>
      </c>
      <c r="D23" s="10" t="s">
        <v>196</v>
      </c>
      <c r="E23" s="10" t="s">
        <v>93</v>
      </c>
      <c r="F23" s="11">
        <v>46297.0</v>
      </c>
      <c r="G23" s="11">
        <v>46297.0</v>
      </c>
      <c r="H23" s="10" t="s">
        <v>69</v>
      </c>
      <c r="I23" s="12">
        <v>100.0</v>
      </c>
      <c r="J23" s="14" t="s">
        <v>70</v>
      </c>
      <c r="K23" s="10" t="s">
        <v>71</v>
      </c>
      <c r="L23" s="10"/>
      <c r="M23" s="10" t="str">
        <f t="shared" si="1"/>
        <v>Completed</v>
      </c>
    </row>
    <row r="24" ht="13.5" customHeight="1">
      <c r="A24" s="18" t="s">
        <v>200</v>
      </c>
      <c r="B24" s="10" t="s">
        <v>153</v>
      </c>
      <c r="C24" s="10" t="s">
        <v>194</v>
      </c>
      <c r="D24" s="10" t="s">
        <v>201</v>
      </c>
      <c r="E24" s="21" t="s">
        <v>202</v>
      </c>
      <c r="F24" s="11">
        <v>46268.0</v>
      </c>
      <c r="G24" s="11">
        <v>46269.0</v>
      </c>
      <c r="H24" s="10" t="s">
        <v>91</v>
      </c>
      <c r="I24" s="22">
        <v>75.0</v>
      </c>
      <c r="J24" s="10" t="s">
        <v>149</v>
      </c>
      <c r="K24" s="10" t="s">
        <v>71</v>
      </c>
      <c r="L24" s="10"/>
      <c r="M24" s="10" t="str">
        <f t="shared" si="1"/>
        <v>On Track</v>
      </c>
    </row>
    <row r="25" ht="13.5" customHeight="1">
      <c r="A25" s="10"/>
      <c r="B25" s="10"/>
      <c r="C25" s="10"/>
      <c r="D25" s="10"/>
      <c r="E25" s="10"/>
      <c r="F25" s="11"/>
      <c r="G25" s="11"/>
      <c r="H25" s="10"/>
      <c r="I25" s="12"/>
      <c r="J25" s="10"/>
      <c r="K25" s="10"/>
      <c r="L25" s="10"/>
      <c r="M25" s="10" t="str">
        <f t="shared" si="1"/>
        <v/>
      </c>
    </row>
    <row r="26" ht="13.5" customHeight="1">
      <c r="A26" s="10"/>
      <c r="B26" s="10"/>
      <c r="C26" s="10"/>
      <c r="D26" s="10"/>
      <c r="E26" s="10"/>
      <c r="F26" s="11"/>
      <c r="G26" s="11"/>
      <c r="H26" s="10"/>
      <c r="I26" s="12"/>
      <c r="J26" s="10"/>
      <c r="K26" s="10"/>
      <c r="L26" s="10"/>
      <c r="M26" s="10" t="str">
        <f t="shared" si="1"/>
        <v/>
      </c>
    </row>
    <row r="27" ht="13.5" customHeight="1">
      <c r="A27" s="10"/>
      <c r="B27" s="10"/>
      <c r="C27" s="10"/>
      <c r="D27" s="10"/>
      <c r="E27" s="10"/>
      <c r="F27" s="11"/>
      <c r="G27" s="11"/>
      <c r="H27" s="10"/>
      <c r="I27" s="12"/>
      <c r="J27" s="10"/>
      <c r="K27" s="10"/>
      <c r="L27" s="10"/>
      <c r="M27" s="10" t="str">
        <f t="shared" si="1"/>
        <v/>
      </c>
    </row>
    <row r="28" ht="13.5" customHeight="1">
      <c r="A28" s="10"/>
      <c r="B28" s="10"/>
      <c r="C28" s="10"/>
      <c r="D28" s="10"/>
      <c r="E28" s="10"/>
      <c r="F28" s="11"/>
      <c r="G28" s="11"/>
      <c r="H28" s="10"/>
      <c r="I28" s="12"/>
      <c r="J28" s="10"/>
      <c r="K28" s="10"/>
      <c r="L28" s="10"/>
      <c r="M28" s="10" t="str">
        <f t="shared" si="1"/>
        <v/>
      </c>
    </row>
    <row r="29" ht="13.5" customHeight="1">
      <c r="A29" s="10"/>
      <c r="B29" s="10"/>
      <c r="C29" s="10"/>
      <c r="D29" s="10"/>
      <c r="E29" s="10"/>
      <c r="F29" s="11"/>
      <c r="G29" s="11"/>
      <c r="H29" s="10"/>
      <c r="I29" s="12"/>
      <c r="J29" s="10"/>
      <c r="K29" s="10"/>
      <c r="L29" s="10"/>
      <c r="M29" s="10" t="str">
        <f t="shared" si="1"/>
        <v/>
      </c>
    </row>
    <row r="30" ht="13.5" customHeight="1">
      <c r="A30" s="10"/>
      <c r="B30" s="10"/>
      <c r="C30" s="10"/>
      <c r="D30" s="10"/>
      <c r="E30" s="10"/>
      <c r="F30" s="11"/>
      <c r="G30" s="11"/>
      <c r="H30" s="10"/>
      <c r="I30" s="12"/>
      <c r="J30" s="10"/>
      <c r="K30" s="10"/>
      <c r="L30" s="10"/>
      <c r="M30" s="10" t="str">
        <f t="shared" si="1"/>
        <v/>
      </c>
    </row>
    <row r="31" ht="13.5" customHeight="1">
      <c r="A31" s="10"/>
      <c r="B31" s="10"/>
      <c r="C31" s="10"/>
      <c r="D31" s="10"/>
      <c r="E31" s="10"/>
      <c r="F31" s="11"/>
      <c r="G31" s="11"/>
      <c r="H31" s="10"/>
      <c r="I31" s="12"/>
      <c r="J31" s="10"/>
      <c r="K31" s="10"/>
      <c r="L31" s="10"/>
      <c r="M31" s="10" t="str">
        <f t="shared" si="1"/>
        <v/>
      </c>
    </row>
    <row r="32" ht="13.5" customHeight="1">
      <c r="A32" s="10"/>
      <c r="B32" s="10"/>
      <c r="C32" s="10"/>
      <c r="D32" s="10"/>
      <c r="E32" s="10"/>
      <c r="F32" s="11"/>
      <c r="G32" s="11"/>
      <c r="H32" s="10"/>
      <c r="I32" s="12"/>
      <c r="J32" s="10"/>
      <c r="K32" s="10"/>
      <c r="L32" s="10"/>
      <c r="M32" s="10" t="str">
        <f t="shared" si="1"/>
        <v/>
      </c>
    </row>
    <row r="33" ht="13.5" customHeight="1">
      <c r="A33" s="10"/>
      <c r="B33" s="10"/>
      <c r="C33" s="10"/>
      <c r="D33" s="10"/>
      <c r="E33" s="10"/>
      <c r="F33" s="11"/>
      <c r="G33" s="11"/>
      <c r="H33" s="10"/>
      <c r="I33" s="12"/>
      <c r="J33" s="10"/>
      <c r="K33" s="10"/>
      <c r="L33" s="10"/>
      <c r="M33" s="10" t="str">
        <f t="shared" si="1"/>
        <v/>
      </c>
    </row>
    <row r="34" ht="13.5" customHeight="1">
      <c r="A34" s="10"/>
      <c r="B34" s="10"/>
      <c r="C34" s="10"/>
      <c r="D34" s="10"/>
      <c r="E34" s="10"/>
      <c r="F34" s="11"/>
      <c r="G34" s="11"/>
      <c r="H34" s="10"/>
      <c r="I34" s="12"/>
      <c r="J34" s="10"/>
      <c r="K34" s="10"/>
      <c r="L34" s="10"/>
      <c r="M34" s="10" t="str">
        <f t="shared" si="1"/>
        <v/>
      </c>
    </row>
    <row r="35" ht="13.5" customHeight="1">
      <c r="A35" s="10"/>
      <c r="B35" s="10"/>
      <c r="C35" s="10"/>
      <c r="D35" s="10"/>
      <c r="E35" s="10"/>
      <c r="F35" s="11"/>
      <c r="G35" s="11"/>
      <c r="H35" s="10"/>
      <c r="I35" s="12"/>
      <c r="J35" s="10"/>
      <c r="K35" s="10"/>
      <c r="L35" s="10"/>
      <c r="M35" s="10" t="str">
        <f t="shared" si="1"/>
        <v/>
      </c>
    </row>
    <row r="36" ht="13.5" customHeight="1">
      <c r="A36" s="10"/>
      <c r="B36" s="10"/>
      <c r="C36" s="10"/>
      <c r="D36" s="10"/>
      <c r="E36" s="10"/>
      <c r="F36" s="11"/>
      <c r="G36" s="11"/>
      <c r="H36" s="10"/>
      <c r="I36" s="12"/>
      <c r="J36" s="10"/>
      <c r="K36" s="10"/>
      <c r="L36" s="10"/>
      <c r="M36" s="10" t="str">
        <f t="shared" si="1"/>
        <v/>
      </c>
    </row>
    <row r="37" ht="13.5" customHeight="1">
      <c r="A37" s="10"/>
      <c r="B37" s="10"/>
      <c r="C37" s="10"/>
      <c r="D37" s="10"/>
      <c r="E37" s="10"/>
      <c r="F37" s="11"/>
      <c r="G37" s="11"/>
      <c r="H37" s="10"/>
      <c r="I37" s="12"/>
      <c r="J37" s="10"/>
      <c r="K37" s="10"/>
      <c r="L37" s="10"/>
      <c r="M37" s="10" t="str">
        <f t="shared" si="1"/>
        <v/>
      </c>
    </row>
    <row r="38" ht="13.5" customHeight="1">
      <c r="A38" s="10"/>
      <c r="B38" s="10"/>
      <c r="C38" s="10"/>
      <c r="D38" s="10"/>
      <c r="E38" s="10"/>
      <c r="F38" s="11"/>
      <c r="G38" s="11"/>
      <c r="H38" s="10"/>
      <c r="I38" s="12"/>
      <c r="J38" s="10"/>
      <c r="K38" s="10"/>
      <c r="L38" s="10"/>
      <c r="M38" s="10" t="str">
        <f t="shared" si="1"/>
        <v/>
      </c>
    </row>
    <row r="39" ht="13.5" customHeight="1">
      <c r="A39" s="10"/>
      <c r="B39" s="10"/>
      <c r="C39" s="10"/>
      <c r="D39" s="10"/>
      <c r="E39" s="10"/>
      <c r="F39" s="11"/>
      <c r="G39" s="11"/>
      <c r="H39" s="10"/>
      <c r="I39" s="12"/>
      <c r="J39" s="10"/>
      <c r="K39" s="10"/>
      <c r="L39" s="10"/>
      <c r="M39" s="10" t="str">
        <f t="shared" si="1"/>
        <v/>
      </c>
    </row>
    <row r="40" ht="13.5" customHeight="1">
      <c r="A40" s="10"/>
      <c r="B40" s="10"/>
      <c r="C40" s="10"/>
      <c r="D40" s="10"/>
      <c r="E40" s="10"/>
      <c r="F40" s="11"/>
      <c r="G40" s="11"/>
      <c r="H40" s="10"/>
      <c r="I40" s="12"/>
      <c r="J40" s="10"/>
      <c r="K40" s="10"/>
      <c r="L40" s="10"/>
      <c r="M40" s="10" t="str">
        <f t="shared" si="1"/>
        <v/>
      </c>
    </row>
    <row r="41" ht="13.5" customHeight="1">
      <c r="A41" s="10"/>
      <c r="B41" s="10"/>
      <c r="C41" s="10"/>
      <c r="D41" s="10"/>
      <c r="E41" s="10"/>
      <c r="F41" s="11"/>
      <c r="G41" s="11"/>
      <c r="H41" s="10"/>
      <c r="I41" s="12"/>
      <c r="J41" s="10"/>
      <c r="K41" s="10"/>
      <c r="L41" s="10"/>
      <c r="M41" s="10" t="str">
        <f t="shared" si="1"/>
        <v/>
      </c>
    </row>
    <row r="42" ht="13.5" customHeight="1">
      <c r="A42" s="10"/>
      <c r="B42" s="10"/>
      <c r="C42" s="10"/>
      <c r="D42" s="10"/>
      <c r="E42" s="10"/>
      <c r="F42" s="11"/>
      <c r="G42" s="11"/>
      <c r="H42" s="10"/>
      <c r="I42" s="12"/>
      <c r="J42" s="10"/>
      <c r="K42" s="10"/>
      <c r="L42" s="10"/>
      <c r="M42" s="10" t="str">
        <f t="shared" si="1"/>
        <v/>
      </c>
    </row>
    <row r="43" ht="13.5" customHeight="1">
      <c r="A43" s="10"/>
      <c r="B43" s="10"/>
      <c r="C43" s="10"/>
      <c r="D43" s="10"/>
      <c r="E43" s="10"/>
      <c r="F43" s="11"/>
      <c r="G43" s="11"/>
      <c r="H43" s="10"/>
      <c r="I43" s="12"/>
      <c r="J43" s="10"/>
      <c r="K43" s="10"/>
      <c r="L43" s="10"/>
      <c r="M43" s="10" t="str">
        <f t="shared" si="1"/>
        <v/>
      </c>
    </row>
    <row r="44" ht="13.5" customHeight="1">
      <c r="A44" s="10"/>
      <c r="B44" s="10"/>
      <c r="C44" s="10"/>
      <c r="D44" s="10"/>
      <c r="E44" s="10"/>
      <c r="F44" s="11"/>
      <c r="G44" s="11"/>
      <c r="H44" s="10"/>
      <c r="I44" s="12"/>
      <c r="J44" s="10"/>
      <c r="K44" s="10"/>
      <c r="L44" s="10"/>
      <c r="M44" s="10" t="str">
        <f t="shared" si="1"/>
        <v/>
      </c>
    </row>
    <row r="45" ht="13.5" customHeight="1">
      <c r="A45" s="10"/>
      <c r="B45" s="10"/>
      <c r="C45" s="10"/>
      <c r="D45" s="10"/>
      <c r="E45" s="10"/>
      <c r="F45" s="11"/>
      <c r="G45" s="11"/>
      <c r="H45" s="10"/>
      <c r="I45" s="12"/>
      <c r="J45" s="10"/>
      <c r="K45" s="10"/>
      <c r="L45" s="10"/>
      <c r="M45" s="10" t="str">
        <f t="shared" si="1"/>
        <v/>
      </c>
    </row>
    <row r="46" ht="13.5" customHeight="1">
      <c r="A46" s="10"/>
      <c r="B46" s="10"/>
      <c r="C46" s="10"/>
      <c r="D46" s="10"/>
      <c r="E46" s="10"/>
      <c r="F46" s="11"/>
      <c r="G46" s="11"/>
      <c r="H46" s="10"/>
      <c r="I46" s="12"/>
      <c r="J46" s="10"/>
      <c r="K46" s="10"/>
      <c r="L46" s="10"/>
      <c r="M46" s="10" t="str">
        <f t="shared" si="1"/>
        <v/>
      </c>
    </row>
    <row r="47" ht="13.5" customHeight="1">
      <c r="A47" s="10"/>
      <c r="B47" s="10"/>
      <c r="C47" s="10"/>
      <c r="D47" s="10"/>
      <c r="E47" s="10"/>
      <c r="F47" s="11"/>
      <c r="G47" s="11"/>
      <c r="H47" s="10"/>
      <c r="I47" s="12"/>
      <c r="J47" s="10"/>
      <c r="K47" s="10"/>
      <c r="L47" s="10"/>
      <c r="M47" s="10" t="str">
        <f t="shared" si="1"/>
        <v/>
      </c>
    </row>
    <row r="48" ht="13.5" customHeight="1">
      <c r="A48" s="10"/>
      <c r="B48" s="10"/>
      <c r="C48" s="10"/>
      <c r="D48" s="10"/>
      <c r="E48" s="10"/>
      <c r="F48" s="11"/>
      <c r="G48" s="11"/>
      <c r="H48" s="10"/>
      <c r="I48" s="12"/>
      <c r="J48" s="10"/>
      <c r="K48" s="10"/>
      <c r="L48" s="10"/>
      <c r="M48" s="10" t="str">
        <f t="shared" si="1"/>
        <v/>
      </c>
    </row>
    <row r="49" ht="13.5" customHeight="1">
      <c r="A49" s="10"/>
      <c r="B49" s="10"/>
      <c r="C49" s="10"/>
      <c r="D49" s="10"/>
      <c r="E49" s="10"/>
      <c r="F49" s="11"/>
      <c r="G49" s="11"/>
      <c r="H49" s="10"/>
      <c r="I49" s="12"/>
      <c r="J49" s="10"/>
      <c r="K49" s="10"/>
      <c r="L49" s="10"/>
      <c r="M49" s="10" t="str">
        <f t="shared" si="1"/>
        <v/>
      </c>
    </row>
    <row r="50" ht="13.5" customHeight="1">
      <c r="A50" s="10"/>
      <c r="B50" s="10"/>
      <c r="C50" s="10"/>
      <c r="D50" s="10"/>
      <c r="E50" s="10"/>
      <c r="F50" s="11"/>
      <c r="G50" s="11"/>
      <c r="H50" s="10"/>
      <c r="I50" s="12"/>
      <c r="J50" s="10"/>
      <c r="K50" s="10"/>
      <c r="L50" s="10"/>
      <c r="M50" s="10" t="str">
        <f t="shared" si="1"/>
        <v/>
      </c>
    </row>
    <row r="51" ht="13.5" customHeight="1">
      <c r="A51" s="10"/>
      <c r="B51" s="10"/>
      <c r="C51" s="10"/>
      <c r="D51" s="10"/>
      <c r="E51" s="10"/>
      <c r="F51" s="11"/>
      <c r="G51" s="11"/>
      <c r="H51" s="10"/>
      <c r="I51" s="12"/>
      <c r="J51" s="10"/>
      <c r="K51" s="10"/>
      <c r="L51" s="10"/>
      <c r="M51" s="10" t="str">
        <f t="shared" si="1"/>
        <v/>
      </c>
    </row>
    <row r="52" ht="13.5" customHeight="1">
      <c r="A52" s="10"/>
      <c r="B52" s="10"/>
      <c r="C52" s="10"/>
      <c r="D52" s="10"/>
      <c r="E52" s="10"/>
      <c r="F52" s="11"/>
      <c r="G52" s="11"/>
      <c r="H52" s="10"/>
      <c r="I52" s="12"/>
      <c r="J52" s="10"/>
      <c r="K52" s="10"/>
      <c r="L52" s="10"/>
      <c r="M52" s="10" t="str">
        <f t="shared" si="1"/>
        <v/>
      </c>
    </row>
    <row r="53" ht="13.5" customHeight="1">
      <c r="A53" s="10"/>
      <c r="B53" s="10"/>
      <c r="C53" s="10"/>
      <c r="D53" s="10"/>
      <c r="E53" s="10"/>
      <c r="F53" s="11"/>
      <c r="G53" s="11"/>
      <c r="H53" s="10"/>
      <c r="I53" s="12"/>
      <c r="J53" s="10"/>
      <c r="K53" s="10"/>
      <c r="L53" s="10"/>
      <c r="M53" s="10" t="str">
        <f t="shared" si="1"/>
        <v/>
      </c>
    </row>
    <row r="54" ht="13.5" customHeight="1">
      <c r="A54" s="10"/>
      <c r="B54" s="10"/>
      <c r="C54" s="10"/>
      <c r="D54" s="10"/>
      <c r="E54" s="10"/>
      <c r="F54" s="11"/>
      <c r="G54" s="11"/>
      <c r="H54" s="10"/>
      <c r="I54" s="12"/>
      <c r="J54" s="10"/>
      <c r="K54" s="10"/>
      <c r="L54" s="10"/>
      <c r="M54" s="10" t="str">
        <f t="shared" si="1"/>
        <v/>
      </c>
    </row>
    <row r="55" ht="13.5" customHeight="1">
      <c r="A55" s="10"/>
      <c r="B55" s="10"/>
      <c r="C55" s="10"/>
      <c r="D55" s="10"/>
      <c r="E55" s="10"/>
      <c r="F55" s="11"/>
      <c r="G55" s="11"/>
      <c r="H55" s="10"/>
      <c r="I55" s="12"/>
      <c r="J55" s="10"/>
      <c r="K55" s="10"/>
      <c r="L55" s="10"/>
      <c r="M55" s="10" t="str">
        <f t="shared" si="1"/>
        <v/>
      </c>
    </row>
    <row r="56" ht="13.5" customHeight="1">
      <c r="A56" s="10"/>
      <c r="B56" s="10"/>
      <c r="C56" s="10"/>
      <c r="D56" s="10"/>
      <c r="E56" s="10"/>
      <c r="F56" s="11"/>
      <c r="G56" s="11"/>
      <c r="H56" s="10"/>
      <c r="I56" s="12"/>
      <c r="J56" s="10"/>
      <c r="K56" s="10"/>
      <c r="L56" s="10"/>
      <c r="M56" s="10" t="str">
        <f t="shared" si="1"/>
        <v/>
      </c>
    </row>
    <row r="57" ht="13.5" customHeight="1">
      <c r="A57" s="10"/>
      <c r="B57" s="10"/>
      <c r="C57" s="10"/>
      <c r="D57" s="10"/>
      <c r="E57" s="10"/>
      <c r="F57" s="11"/>
      <c r="G57" s="11"/>
      <c r="H57" s="10"/>
      <c r="I57" s="12"/>
      <c r="J57" s="10"/>
      <c r="K57" s="10"/>
      <c r="L57" s="10"/>
      <c r="M57" s="10" t="str">
        <f t="shared" si="1"/>
        <v/>
      </c>
    </row>
    <row r="58" ht="13.5" customHeight="1">
      <c r="A58" s="10"/>
      <c r="B58" s="10"/>
      <c r="C58" s="10"/>
      <c r="D58" s="10"/>
      <c r="E58" s="10"/>
      <c r="F58" s="11"/>
      <c r="G58" s="11"/>
      <c r="H58" s="10"/>
      <c r="I58" s="12"/>
      <c r="J58" s="10"/>
      <c r="K58" s="10"/>
      <c r="L58" s="10"/>
      <c r="M58" s="10" t="str">
        <f t="shared" si="1"/>
        <v/>
      </c>
    </row>
    <row r="59" ht="13.5" customHeight="1">
      <c r="A59" s="10"/>
      <c r="B59" s="10"/>
      <c r="C59" s="10"/>
      <c r="D59" s="10"/>
      <c r="E59" s="10"/>
      <c r="F59" s="11"/>
      <c r="G59" s="11"/>
      <c r="H59" s="10"/>
      <c r="I59" s="12"/>
      <c r="J59" s="10"/>
      <c r="K59" s="10"/>
      <c r="L59" s="10"/>
      <c r="M59" s="10" t="str">
        <f t="shared" si="1"/>
        <v/>
      </c>
    </row>
    <row r="60" ht="13.5" customHeight="1">
      <c r="A60" s="10"/>
      <c r="B60" s="10"/>
      <c r="C60" s="10"/>
      <c r="D60" s="10"/>
      <c r="E60" s="10"/>
      <c r="F60" s="11"/>
      <c r="G60" s="11"/>
      <c r="H60" s="10"/>
      <c r="I60" s="12"/>
      <c r="J60" s="10"/>
      <c r="K60" s="10"/>
      <c r="L60" s="10"/>
      <c r="M60" s="10" t="str">
        <f t="shared" si="1"/>
        <v/>
      </c>
    </row>
    <row r="61" ht="13.5" customHeight="1">
      <c r="A61" s="10"/>
      <c r="B61" s="10"/>
      <c r="C61" s="10"/>
      <c r="D61" s="10"/>
      <c r="E61" s="10"/>
      <c r="F61" s="11"/>
      <c r="G61" s="11"/>
      <c r="H61" s="10"/>
      <c r="I61" s="12"/>
      <c r="J61" s="10"/>
      <c r="K61" s="10"/>
      <c r="L61" s="10"/>
      <c r="M61" s="10" t="str">
        <f t="shared" si="1"/>
        <v/>
      </c>
    </row>
    <row r="62" ht="13.5" customHeight="1">
      <c r="A62" s="10"/>
      <c r="B62" s="10"/>
      <c r="C62" s="10"/>
      <c r="D62" s="10"/>
      <c r="E62" s="10"/>
      <c r="F62" s="11"/>
      <c r="G62" s="11"/>
      <c r="H62" s="10"/>
      <c r="I62" s="12"/>
      <c r="J62" s="10"/>
      <c r="K62" s="10"/>
      <c r="L62" s="10"/>
      <c r="M62" s="10" t="str">
        <f t="shared" si="1"/>
        <v/>
      </c>
    </row>
    <row r="63" ht="13.5" customHeight="1">
      <c r="A63" s="10"/>
      <c r="B63" s="10"/>
      <c r="C63" s="10"/>
      <c r="D63" s="10"/>
      <c r="E63" s="10"/>
      <c r="F63" s="11"/>
      <c r="G63" s="11"/>
      <c r="H63" s="10"/>
      <c r="I63" s="12"/>
      <c r="J63" s="10"/>
      <c r="K63" s="10"/>
      <c r="L63" s="10"/>
      <c r="M63" s="10" t="str">
        <f t="shared" si="1"/>
        <v/>
      </c>
    </row>
    <row r="64" ht="13.5" customHeight="1">
      <c r="A64" s="10"/>
      <c r="B64" s="10"/>
      <c r="C64" s="10"/>
      <c r="D64" s="10"/>
      <c r="E64" s="10"/>
      <c r="F64" s="11"/>
      <c r="G64" s="11"/>
      <c r="H64" s="10"/>
      <c r="I64" s="12"/>
      <c r="J64" s="10"/>
      <c r="K64" s="10"/>
      <c r="L64" s="10"/>
      <c r="M64" s="10" t="str">
        <f t="shared" si="1"/>
        <v/>
      </c>
    </row>
    <row r="65" ht="13.5" customHeight="1">
      <c r="A65" s="10"/>
      <c r="B65" s="10"/>
      <c r="C65" s="10"/>
      <c r="D65" s="10"/>
      <c r="E65" s="10"/>
      <c r="F65" s="11"/>
      <c r="G65" s="11"/>
      <c r="H65" s="10"/>
      <c r="I65" s="12"/>
      <c r="J65" s="10"/>
      <c r="K65" s="10"/>
      <c r="L65" s="10"/>
      <c r="M65" s="10" t="str">
        <f t="shared" si="1"/>
        <v/>
      </c>
    </row>
    <row r="66" ht="13.5" customHeight="1">
      <c r="A66" s="10"/>
      <c r="B66" s="10"/>
      <c r="C66" s="10"/>
      <c r="D66" s="10"/>
      <c r="E66" s="10"/>
      <c r="F66" s="11"/>
      <c r="G66" s="11"/>
      <c r="H66" s="10"/>
      <c r="I66" s="12"/>
      <c r="J66" s="10"/>
      <c r="K66" s="10"/>
      <c r="L66" s="10"/>
      <c r="M66" s="10" t="str">
        <f t="shared" si="1"/>
        <v/>
      </c>
    </row>
    <row r="67" ht="13.5" customHeight="1">
      <c r="A67" s="10"/>
      <c r="B67" s="10"/>
      <c r="C67" s="10"/>
      <c r="D67" s="10"/>
      <c r="E67" s="10"/>
      <c r="F67" s="11"/>
      <c r="G67" s="11"/>
      <c r="H67" s="10"/>
      <c r="I67" s="12"/>
      <c r="J67" s="10"/>
      <c r="K67" s="10"/>
      <c r="L67" s="10"/>
      <c r="M67" s="10" t="str">
        <f t="shared" si="1"/>
        <v/>
      </c>
    </row>
    <row r="68" ht="13.5" customHeight="1">
      <c r="A68" s="10"/>
      <c r="B68" s="10"/>
      <c r="C68" s="10"/>
      <c r="D68" s="10"/>
      <c r="E68" s="10"/>
      <c r="F68" s="11"/>
      <c r="G68" s="11"/>
      <c r="H68" s="10"/>
      <c r="I68" s="12"/>
      <c r="J68" s="10"/>
      <c r="K68" s="10"/>
      <c r="L68" s="10"/>
      <c r="M68" s="10" t="str">
        <f t="shared" si="1"/>
        <v/>
      </c>
    </row>
    <row r="69" ht="13.5" customHeight="1">
      <c r="A69" s="10"/>
      <c r="B69" s="10"/>
      <c r="C69" s="10"/>
      <c r="D69" s="10"/>
      <c r="E69" s="10"/>
      <c r="F69" s="11"/>
      <c r="G69" s="11"/>
      <c r="H69" s="10"/>
      <c r="I69" s="12"/>
      <c r="J69" s="10"/>
      <c r="K69" s="10"/>
      <c r="L69" s="10"/>
      <c r="M69" s="10" t="str">
        <f t="shared" si="1"/>
        <v/>
      </c>
    </row>
    <row r="70" ht="13.5" customHeight="1">
      <c r="A70" s="10"/>
      <c r="B70" s="10"/>
      <c r="C70" s="10"/>
      <c r="D70" s="10"/>
      <c r="E70" s="10"/>
      <c r="F70" s="11"/>
      <c r="G70" s="11"/>
      <c r="H70" s="10"/>
      <c r="I70" s="12"/>
      <c r="J70" s="10"/>
      <c r="K70" s="10"/>
      <c r="L70" s="10"/>
      <c r="M70" s="10" t="str">
        <f t="shared" si="1"/>
        <v/>
      </c>
    </row>
    <row r="71" ht="13.5" customHeight="1">
      <c r="A71" s="10"/>
      <c r="B71" s="10"/>
      <c r="C71" s="10"/>
      <c r="D71" s="10"/>
      <c r="E71" s="10"/>
      <c r="F71" s="11"/>
      <c r="G71" s="11"/>
      <c r="H71" s="10"/>
      <c r="I71" s="12"/>
      <c r="J71" s="10"/>
      <c r="K71" s="10"/>
      <c r="L71" s="10"/>
      <c r="M71" s="10" t="str">
        <f t="shared" si="1"/>
        <v/>
      </c>
    </row>
    <row r="72" ht="13.5" customHeight="1">
      <c r="A72" s="10"/>
      <c r="B72" s="10"/>
      <c r="C72" s="10"/>
      <c r="D72" s="10"/>
      <c r="E72" s="10"/>
      <c r="F72" s="11"/>
      <c r="G72" s="11"/>
      <c r="H72" s="10"/>
      <c r="I72" s="12"/>
      <c r="J72" s="10"/>
      <c r="K72" s="10"/>
      <c r="L72" s="10"/>
      <c r="M72" s="10" t="str">
        <f t="shared" si="1"/>
        <v/>
      </c>
    </row>
    <row r="73" ht="13.5" customHeight="1">
      <c r="A73" s="10"/>
      <c r="B73" s="10"/>
      <c r="C73" s="10"/>
      <c r="D73" s="10"/>
      <c r="E73" s="10"/>
      <c r="F73" s="11"/>
      <c r="G73" s="11"/>
      <c r="H73" s="10"/>
      <c r="I73" s="12"/>
      <c r="J73" s="10"/>
      <c r="K73" s="10"/>
      <c r="L73" s="10"/>
      <c r="M73" s="10" t="str">
        <f t="shared" si="1"/>
        <v/>
      </c>
    </row>
    <row r="74" ht="13.5" customHeight="1">
      <c r="A74" s="10"/>
      <c r="B74" s="10"/>
      <c r="C74" s="10"/>
      <c r="D74" s="10"/>
      <c r="E74" s="10"/>
      <c r="F74" s="11"/>
      <c r="G74" s="11"/>
      <c r="H74" s="10"/>
      <c r="I74" s="12"/>
      <c r="J74" s="10"/>
      <c r="K74" s="10"/>
      <c r="L74" s="10"/>
      <c r="M74" s="10" t="str">
        <f t="shared" si="1"/>
        <v/>
      </c>
    </row>
    <row r="75" ht="13.5" customHeight="1">
      <c r="A75" s="10"/>
      <c r="B75" s="10"/>
      <c r="C75" s="10"/>
      <c r="D75" s="10"/>
      <c r="E75" s="10"/>
      <c r="F75" s="11"/>
      <c r="G75" s="11"/>
      <c r="H75" s="10"/>
      <c r="I75" s="12"/>
      <c r="J75" s="10"/>
      <c r="K75" s="10"/>
      <c r="L75" s="10"/>
      <c r="M75" s="10" t="str">
        <f t="shared" si="1"/>
        <v/>
      </c>
    </row>
    <row r="76" ht="13.5" customHeight="1">
      <c r="A76" s="10"/>
      <c r="B76" s="10"/>
      <c r="C76" s="10"/>
      <c r="D76" s="10"/>
      <c r="E76" s="10"/>
      <c r="F76" s="11"/>
      <c r="G76" s="11"/>
      <c r="H76" s="10"/>
      <c r="I76" s="12"/>
      <c r="J76" s="10"/>
      <c r="K76" s="10"/>
      <c r="L76" s="10"/>
      <c r="M76" s="10" t="str">
        <f t="shared" si="1"/>
        <v/>
      </c>
    </row>
    <row r="77" ht="13.5" customHeight="1">
      <c r="A77" s="10"/>
      <c r="B77" s="10"/>
      <c r="C77" s="10"/>
      <c r="D77" s="10"/>
      <c r="E77" s="10"/>
      <c r="F77" s="11"/>
      <c r="G77" s="11"/>
      <c r="H77" s="10"/>
      <c r="I77" s="12"/>
      <c r="J77" s="10"/>
      <c r="K77" s="10"/>
      <c r="L77" s="10"/>
      <c r="M77" s="10" t="str">
        <f t="shared" si="1"/>
        <v/>
      </c>
    </row>
    <row r="78" ht="13.5" customHeight="1">
      <c r="A78" s="10"/>
      <c r="B78" s="10"/>
      <c r="C78" s="10"/>
      <c r="D78" s="10"/>
      <c r="E78" s="10"/>
      <c r="F78" s="11"/>
      <c r="G78" s="11"/>
      <c r="H78" s="10"/>
      <c r="I78" s="12"/>
      <c r="J78" s="10"/>
      <c r="K78" s="10"/>
      <c r="L78" s="10"/>
      <c r="M78" s="10" t="str">
        <f t="shared" si="1"/>
        <v/>
      </c>
    </row>
    <row r="79" ht="13.5" customHeight="1">
      <c r="A79" s="10"/>
      <c r="B79" s="10"/>
      <c r="C79" s="10"/>
      <c r="D79" s="10"/>
      <c r="E79" s="10"/>
      <c r="F79" s="11"/>
      <c r="G79" s="11"/>
      <c r="H79" s="10"/>
      <c r="I79" s="12"/>
      <c r="J79" s="10"/>
      <c r="K79" s="10"/>
      <c r="L79" s="10"/>
      <c r="M79" s="10" t="str">
        <f t="shared" si="1"/>
        <v/>
      </c>
    </row>
    <row r="80" ht="13.5" customHeight="1">
      <c r="A80" s="10"/>
      <c r="B80" s="10"/>
      <c r="C80" s="10"/>
      <c r="D80" s="10"/>
      <c r="E80" s="10"/>
      <c r="F80" s="11"/>
      <c r="G80" s="11"/>
      <c r="H80" s="10"/>
      <c r="I80" s="12"/>
      <c r="J80" s="10"/>
      <c r="K80" s="10"/>
      <c r="L80" s="10"/>
      <c r="M80" s="10" t="str">
        <f t="shared" si="1"/>
        <v/>
      </c>
    </row>
    <row r="81" ht="13.5" customHeight="1">
      <c r="A81" s="10"/>
      <c r="B81" s="10"/>
      <c r="C81" s="10"/>
      <c r="D81" s="10"/>
      <c r="E81" s="10"/>
      <c r="F81" s="11"/>
      <c r="G81" s="11"/>
      <c r="H81" s="10"/>
      <c r="I81" s="12"/>
      <c r="J81" s="10"/>
      <c r="K81" s="10"/>
      <c r="L81" s="10"/>
      <c r="M81" s="10" t="str">
        <f t="shared" si="1"/>
        <v/>
      </c>
    </row>
    <row r="82" ht="13.5" customHeight="1">
      <c r="A82" s="10"/>
      <c r="B82" s="10"/>
      <c r="C82" s="10"/>
      <c r="D82" s="10"/>
      <c r="E82" s="10"/>
      <c r="F82" s="11"/>
      <c r="G82" s="11"/>
      <c r="H82" s="10"/>
      <c r="I82" s="12"/>
      <c r="J82" s="10"/>
      <c r="K82" s="10"/>
      <c r="L82" s="10"/>
      <c r="M82" s="10" t="str">
        <f t="shared" si="1"/>
        <v/>
      </c>
    </row>
    <row r="83" ht="13.5" customHeight="1">
      <c r="A83" s="10"/>
      <c r="B83" s="10"/>
      <c r="C83" s="10"/>
      <c r="D83" s="10"/>
      <c r="E83" s="10"/>
      <c r="F83" s="11"/>
      <c r="G83" s="11"/>
      <c r="H83" s="10"/>
      <c r="I83" s="12"/>
      <c r="J83" s="10"/>
      <c r="K83" s="10"/>
      <c r="L83" s="10"/>
      <c r="M83" s="10" t="str">
        <f t="shared" si="1"/>
        <v/>
      </c>
    </row>
    <row r="84" ht="13.5" customHeight="1">
      <c r="A84" s="10"/>
      <c r="B84" s="10"/>
      <c r="C84" s="10"/>
      <c r="D84" s="10"/>
      <c r="E84" s="10"/>
      <c r="F84" s="11"/>
      <c r="G84" s="11"/>
      <c r="H84" s="10"/>
      <c r="I84" s="12"/>
      <c r="J84" s="10"/>
      <c r="K84" s="10"/>
      <c r="L84" s="10"/>
      <c r="M84" s="10" t="str">
        <f t="shared" si="1"/>
        <v/>
      </c>
    </row>
    <row r="85" ht="13.5" customHeight="1">
      <c r="A85" s="10"/>
      <c r="B85" s="10"/>
      <c r="C85" s="10"/>
      <c r="D85" s="10"/>
      <c r="E85" s="10"/>
      <c r="F85" s="11"/>
      <c r="G85" s="11"/>
      <c r="H85" s="10"/>
      <c r="I85" s="12"/>
      <c r="J85" s="10"/>
      <c r="K85" s="10"/>
      <c r="L85" s="10"/>
      <c r="M85" s="10" t="str">
        <f t="shared" si="1"/>
        <v/>
      </c>
    </row>
    <row r="86" ht="13.5" customHeight="1">
      <c r="A86" s="10"/>
      <c r="B86" s="10"/>
      <c r="C86" s="10"/>
      <c r="D86" s="10"/>
      <c r="E86" s="10"/>
      <c r="F86" s="11"/>
      <c r="G86" s="11"/>
      <c r="H86" s="10"/>
      <c r="I86" s="12"/>
      <c r="J86" s="10"/>
      <c r="K86" s="10"/>
      <c r="L86" s="10"/>
      <c r="M86" s="10" t="str">
        <f t="shared" si="1"/>
        <v/>
      </c>
    </row>
    <row r="87" ht="13.5" customHeight="1">
      <c r="A87" s="10"/>
      <c r="B87" s="10"/>
      <c r="C87" s="10"/>
      <c r="D87" s="10"/>
      <c r="E87" s="10"/>
      <c r="F87" s="11"/>
      <c r="G87" s="11"/>
      <c r="H87" s="10"/>
      <c r="I87" s="12"/>
      <c r="J87" s="10"/>
      <c r="K87" s="10"/>
      <c r="L87" s="10"/>
      <c r="M87" s="10" t="str">
        <f t="shared" si="1"/>
        <v/>
      </c>
    </row>
    <row r="88" ht="13.5" customHeight="1">
      <c r="A88" s="10"/>
      <c r="B88" s="10"/>
      <c r="C88" s="10"/>
      <c r="D88" s="10"/>
      <c r="E88" s="10"/>
      <c r="F88" s="11"/>
      <c r="G88" s="11"/>
      <c r="H88" s="10"/>
      <c r="I88" s="12"/>
      <c r="J88" s="10"/>
      <c r="K88" s="10"/>
      <c r="L88" s="10"/>
      <c r="M88" s="10" t="str">
        <f t="shared" si="1"/>
        <v/>
      </c>
    </row>
    <row r="89" ht="13.5" customHeight="1">
      <c r="A89" s="10"/>
      <c r="B89" s="10"/>
      <c r="C89" s="10"/>
      <c r="D89" s="10"/>
      <c r="E89" s="10"/>
      <c r="F89" s="11"/>
      <c r="G89" s="11"/>
      <c r="H89" s="10"/>
      <c r="I89" s="12"/>
      <c r="J89" s="10"/>
      <c r="K89" s="10"/>
      <c r="L89" s="10"/>
      <c r="M89" s="10" t="str">
        <f t="shared" si="1"/>
        <v/>
      </c>
    </row>
    <row r="90" ht="13.5" customHeight="1">
      <c r="A90" s="10"/>
      <c r="B90" s="10"/>
      <c r="C90" s="10"/>
      <c r="D90" s="10"/>
      <c r="E90" s="10"/>
      <c r="F90" s="11"/>
      <c r="G90" s="11"/>
      <c r="H90" s="10"/>
      <c r="I90" s="12"/>
      <c r="J90" s="10"/>
      <c r="K90" s="10"/>
      <c r="L90" s="10"/>
      <c r="M90" s="10" t="str">
        <f t="shared" si="1"/>
        <v/>
      </c>
    </row>
    <row r="91" ht="13.5" customHeight="1">
      <c r="A91" s="10"/>
      <c r="B91" s="10"/>
      <c r="C91" s="10"/>
      <c r="D91" s="10"/>
      <c r="E91" s="10"/>
      <c r="F91" s="11"/>
      <c r="G91" s="11"/>
      <c r="H91" s="10"/>
      <c r="I91" s="12"/>
      <c r="J91" s="10"/>
      <c r="K91" s="10"/>
      <c r="L91" s="10"/>
      <c r="M91" s="10" t="str">
        <f t="shared" si="1"/>
        <v/>
      </c>
    </row>
    <row r="92" ht="13.5" customHeight="1">
      <c r="A92" s="10"/>
      <c r="B92" s="10"/>
      <c r="C92" s="10"/>
      <c r="D92" s="10"/>
      <c r="E92" s="10"/>
      <c r="F92" s="11"/>
      <c r="G92" s="11"/>
      <c r="H92" s="10"/>
      <c r="I92" s="12"/>
      <c r="J92" s="10"/>
      <c r="K92" s="10"/>
      <c r="L92" s="10"/>
      <c r="M92" s="10" t="str">
        <f t="shared" si="1"/>
        <v/>
      </c>
    </row>
    <row r="93" ht="13.5" customHeight="1">
      <c r="A93" s="10"/>
      <c r="B93" s="10"/>
      <c r="C93" s="10"/>
      <c r="D93" s="10"/>
      <c r="E93" s="10"/>
      <c r="F93" s="11"/>
      <c r="G93" s="11"/>
      <c r="H93" s="10"/>
      <c r="I93" s="12"/>
      <c r="J93" s="10"/>
      <c r="K93" s="10"/>
      <c r="L93" s="10"/>
      <c r="M93" s="10" t="str">
        <f t="shared" si="1"/>
        <v/>
      </c>
    </row>
    <row r="94" ht="13.5" customHeight="1">
      <c r="A94" s="10"/>
      <c r="B94" s="10"/>
      <c r="C94" s="10"/>
      <c r="D94" s="10"/>
      <c r="E94" s="10"/>
      <c r="F94" s="11"/>
      <c r="G94" s="11"/>
      <c r="H94" s="10"/>
      <c r="I94" s="12"/>
      <c r="J94" s="10"/>
      <c r="K94" s="10"/>
      <c r="L94" s="10"/>
      <c r="M94" s="10" t="str">
        <f t="shared" si="1"/>
        <v/>
      </c>
    </row>
    <row r="95" ht="13.5" customHeight="1">
      <c r="A95" s="10"/>
      <c r="B95" s="10"/>
      <c r="C95" s="10"/>
      <c r="D95" s="10"/>
      <c r="E95" s="10"/>
      <c r="F95" s="11"/>
      <c r="G95" s="11"/>
      <c r="H95" s="10"/>
      <c r="I95" s="12"/>
      <c r="J95" s="10"/>
      <c r="K95" s="10"/>
      <c r="L95" s="10"/>
      <c r="M95" s="10" t="str">
        <f t="shared" si="1"/>
        <v/>
      </c>
    </row>
    <row r="96" ht="13.5" customHeight="1">
      <c r="A96" s="10"/>
      <c r="B96" s="10"/>
      <c r="C96" s="10"/>
      <c r="D96" s="10"/>
      <c r="E96" s="10"/>
      <c r="F96" s="11"/>
      <c r="G96" s="11"/>
      <c r="H96" s="10"/>
      <c r="I96" s="12"/>
      <c r="J96" s="10"/>
      <c r="K96" s="10"/>
      <c r="L96" s="10"/>
      <c r="M96" s="10" t="str">
        <f t="shared" si="1"/>
        <v/>
      </c>
    </row>
    <row r="97" ht="13.5" customHeight="1">
      <c r="A97" s="10"/>
      <c r="B97" s="10"/>
      <c r="C97" s="10"/>
      <c r="D97" s="10"/>
      <c r="E97" s="10"/>
      <c r="F97" s="11"/>
      <c r="G97" s="11"/>
      <c r="H97" s="10"/>
      <c r="I97" s="12"/>
      <c r="J97" s="10"/>
      <c r="K97" s="10"/>
      <c r="L97" s="10"/>
      <c r="M97" s="10" t="str">
        <f t="shared" si="1"/>
        <v/>
      </c>
    </row>
    <row r="98" ht="13.5" customHeight="1">
      <c r="A98" s="10"/>
      <c r="B98" s="10"/>
      <c r="C98" s="10"/>
      <c r="D98" s="10"/>
      <c r="E98" s="10"/>
      <c r="F98" s="11"/>
      <c r="G98" s="11"/>
      <c r="H98" s="10"/>
      <c r="I98" s="12"/>
      <c r="J98" s="10"/>
      <c r="K98" s="10"/>
      <c r="L98" s="10"/>
      <c r="M98" s="10" t="str">
        <f t="shared" si="1"/>
        <v/>
      </c>
    </row>
    <row r="99" ht="13.5" customHeight="1">
      <c r="A99" s="10"/>
      <c r="B99" s="10"/>
      <c r="C99" s="10"/>
      <c r="D99" s="10"/>
      <c r="E99" s="10"/>
      <c r="F99" s="11"/>
      <c r="G99" s="11"/>
      <c r="H99" s="10"/>
      <c r="I99" s="12"/>
      <c r="J99" s="10"/>
      <c r="K99" s="10"/>
      <c r="L99" s="10"/>
      <c r="M99" s="10" t="str">
        <f t="shared" si="1"/>
        <v/>
      </c>
    </row>
    <row r="100" ht="13.5" customHeight="1">
      <c r="A100" s="10"/>
      <c r="B100" s="10"/>
      <c r="C100" s="10"/>
      <c r="D100" s="10"/>
      <c r="E100" s="10"/>
      <c r="F100" s="11"/>
      <c r="G100" s="11"/>
      <c r="H100" s="10"/>
      <c r="I100" s="12"/>
      <c r="J100" s="10"/>
      <c r="K100" s="10"/>
      <c r="L100" s="10"/>
      <c r="M100" s="10" t="str">
        <f t="shared" si="1"/>
        <v/>
      </c>
    </row>
    <row r="101" ht="13.5" customHeight="1">
      <c r="A101" s="10"/>
      <c r="B101" s="10"/>
      <c r="C101" s="10"/>
      <c r="D101" s="10"/>
      <c r="E101" s="10"/>
      <c r="F101" s="11"/>
      <c r="G101" s="11"/>
      <c r="H101" s="10"/>
      <c r="I101" s="12"/>
      <c r="J101" s="10"/>
      <c r="K101" s="10"/>
      <c r="L101" s="10"/>
      <c r="M101" s="10" t="str">
        <f t="shared" si="1"/>
        <v/>
      </c>
    </row>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M1"/>
  </mergeCells>
  <conditionalFormatting sqref="H3:H101">
    <cfRule type="expression" dxfId="5" priority="1">
      <formula>H3="Completed"</formula>
    </cfRule>
  </conditionalFormatting>
  <conditionalFormatting sqref="H3:H101">
    <cfRule type="expression" dxfId="6" priority="2">
      <formula>H3="In Progress"</formula>
    </cfRule>
  </conditionalFormatting>
  <conditionalFormatting sqref="H3:H101">
    <cfRule type="expression" dxfId="8" priority="3">
      <formula>H3="Delayed"</formula>
    </cfRule>
  </conditionalFormatting>
  <conditionalFormatting sqref="H3:H101">
    <cfRule type="expression" dxfId="7" priority="4">
      <formula>H3="Blocked"</formula>
    </cfRule>
  </conditionalFormatting>
  <conditionalFormatting sqref="M3:M101">
    <cfRule type="expression" dxfId="9" priority="5">
      <formula>M3="Overdue"</formula>
    </cfRule>
  </conditionalFormatting>
  <dataValidations>
    <dataValidation type="list" allowBlank="1" sqref="B3:B101">
      <formula1>"Unit 1 / Phase 1,Phase 2,Phase 3,Final"</formula1>
    </dataValidation>
    <dataValidation type="list" allowBlank="1" sqref="H3:H101">
      <formula1>"Not Started,In Progress,Completed,Delayed,Blocked"</formula1>
    </dataValidation>
    <dataValidation type="list" allowBlank="1" sqref="I3:I101">
      <formula1>"0,25,50,75,100"</formula1>
    </dataValidation>
    <dataValidation type="list" allowBlank="1" sqref="K3:K101">
      <formula1>"Yes,No"</formula1>
    </dataValidation>
  </dataValidations>
  <hyperlinks>
    <hyperlink r:id="rId1" ref="J3"/>
    <hyperlink r:id="rId2" ref="J4"/>
    <hyperlink r:id="rId3" ref="J5"/>
    <hyperlink r:id="rId4" ref="J6"/>
    <hyperlink r:id="rId5" ref="J7"/>
    <hyperlink r:id="rId6" ref="J8"/>
    <hyperlink r:id="rId7" ref="J10"/>
    <hyperlink r:id="rId8" ref="J11"/>
    <hyperlink r:id="rId9" ref="J14"/>
    <hyperlink r:id="rId10" ref="J15"/>
    <hyperlink r:id="rId11" ref="J16"/>
    <hyperlink r:id="rId12" ref="J17"/>
    <hyperlink r:id="rId13" ref="J18"/>
    <hyperlink r:id="rId14" ref="J19"/>
    <hyperlink r:id="rId15" ref="J20"/>
    <hyperlink r:id="rId16" ref="J21"/>
    <hyperlink r:id="rId17" ref="J22"/>
    <hyperlink r:id="rId18" ref="J23"/>
  </hyperlinks>
  <printOptions/>
  <pageMargins bottom="0.75" footer="0.0" header="0.0" left="0.7" right="0.7" top="0.75"/>
  <pageSetup orientation="landscape"/>
  <drawing r:id="rId19"/>
  <tableParts count="1">
    <tablePart r:id="rId2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6.0"/>
    <col customWidth="1" min="3" max="3" width="19.0"/>
    <col customWidth="1" min="4" max="4" width="15.0"/>
    <col customWidth="1" min="5" max="5" width="32.0"/>
    <col customWidth="1" min="6" max="6" width="38.0"/>
    <col customWidth="1" min="7" max="7" width="14.0"/>
    <col customWidth="1" min="8" max="8" width="12.0"/>
    <col customWidth="1" min="9" max="9" width="34.0"/>
    <col customWidth="1" min="10" max="10" width="16.0"/>
    <col customWidth="1" min="11" max="11" width="14.0"/>
    <col customWidth="1" min="12" max="12" width="28.0"/>
    <col customWidth="1" min="13" max="26" width="8.63"/>
  </cols>
  <sheetData>
    <row r="1" ht="30.0" customHeight="1">
      <c r="A1" s="1" t="s">
        <v>32</v>
      </c>
      <c r="B1" s="2"/>
      <c r="C1" s="2"/>
      <c r="D1" s="2"/>
      <c r="E1" s="2"/>
      <c r="F1" s="2"/>
      <c r="G1" s="2"/>
      <c r="H1" s="2"/>
      <c r="I1" s="2"/>
      <c r="J1" s="2"/>
      <c r="K1" s="2"/>
      <c r="L1" s="3"/>
    </row>
    <row r="2" ht="13.5" customHeight="1">
      <c r="A2" s="9" t="s">
        <v>41</v>
      </c>
      <c r="B2" s="9" t="s">
        <v>45</v>
      </c>
      <c r="C2" s="9" t="s">
        <v>44</v>
      </c>
      <c r="D2" s="9" t="s">
        <v>46</v>
      </c>
      <c r="E2" s="9" t="s">
        <v>48</v>
      </c>
      <c r="F2" s="9" t="s">
        <v>51</v>
      </c>
      <c r="G2" s="9" t="s">
        <v>53</v>
      </c>
      <c r="H2" s="9" t="s">
        <v>55</v>
      </c>
      <c r="I2" s="9" t="s">
        <v>57</v>
      </c>
      <c r="J2" s="9" t="s">
        <v>58</v>
      </c>
      <c r="K2" s="9" t="s">
        <v>61</v>
      </c>
      <c r="L2" s="9" t="s">
        <v>63</v>
      </c>
    </row>
    <row r="3" ht="13.5" customHeight="1">
      <c r="A3" s="10" t="s">
        <v>64</v>
      </c>
      <c r="B3" s="10">
        <v>2.23040545E8</v>
      </c>
      <c r="C3" s="10" t="s">
        <v>34</v>
      </c>
      <c r="D3" s="10">
        <v>1.3</v>
      </c>
      <c r="E3" s="10"/>
      <c r="F3" s="10" t="s">
        <v>68</v>
      </c>
      <c r="G3" s="11"/>
      <c r="H3" s="13"/>
      <c r="I3" s="10"/>
      <c r="J3" s="10"/>
      <c r="K3" s="11"/>
      <c r="L3" s="10"/>
    </row>
    <row r="4" ht="13.5" customHeight="1">
      <c r="A4" s="10" t="s">
        <v>64</v>
      </c>
      <c r="B4" s="10">
        <v>2.23040545E8</v>
      </c>
      <c r="C4" s="10" t="s">
        <v>34</v>
      </c>
      <c r="D4" s="10">
        <v>1.2</v>
      </c>
      <c r="E4" s="10"/>
      <c r="F4" s="10" t="s">
        <v>72</v>
      </c>
      <c r="G4" s="11"/>
      <c r="H4" s="13"/>
      <c r="I4" s="10"/>
      <c r="J4" s="10"/>
      <c r="K4" s="11"/>
      <c r="L4" s="10"/>
    </row>
    <row r="5" ht="13.5" customHeight="1">
      <c r="A5" s="10" t="s">
        <v>73</v>
      </c>
      <c r="B5" s="10">
        <v>2.22070281E8</v>
      </c>
      <c r="C5" s="10" t="s">
        <v>34</v>
      </c>
      <c r="D5" s="10">
        <v>1.2</v>
      </c>
      <c r="E5" s="10"/>
      <c r="F5" s="10" t="s">
        <v>76</v>
      </c>
      <c r="G5" s="11"/>
      <c r="H5" s="13"/>
      <c r="I5" s="10"/>
      <c r="J5" s="10"/>
      <c r="K5" s="11"/>
      <c r="L5" s="10"/>
    </row>
    <row r="6" ht="13.5" customHeight="1">
      <c r="A6" s="10" t="s">
        <v>83</v>
      </c>
      <c r="B6" s="10">
        <v>2.23044798E8</v>
      </c>
      <c r="C6" s="10" t="s">
        <v>34</v>
      </c>
      <c r="D6" s="10">
        <v>1.1</v>
      </c>
      <c r="E6" s="10"/>
      <c r="F6" s="10" t="s">
        <v>77</v>
      </c>
      <c r="G6" s="11"/>
      <c r="H6" s="13"/>
      <c r="I6" s="10"/>
      <c r="J6" s="10"/>
      <c r="K6" s="11"/>
      <c r="L6" s="10"/>
    </row>
    <row r="7" ht="13.5" customHeight="1">
      <c r="A7" s="10" t="s">
        <v>83</v>
      </c>
      <c r="B7" s="10">
        <v>2.23044798E8</v>
      </c>
      <c r="C7" s="10" t="s">
        <v>34</v>
      </c>
      <c r="D7" s="10">
        <v>1.1</v>
      </c>
      <c r="E7" s="10"/>
      <c r="F7" s="10" t="s">
        <v>87</v>
      </c>
      <c r="G7" s="11"/>
      <c r="H7" s="13"/>
      <c r="I7" s="10"/>
      <c r="J7" s="10"/>
      <c r="K7" s="11"/>
      <c r="L7" s="10"/>
    </row>
    <row r="8" ht="13.5" customHeight="1">
      <c r="A8" s="10" t="s">
        <v>64</v>
      </c>
      <c r="B8" s="10">
        <v>2.23040545E8</v>
      </c>
      <c r="C8" s="10" t="s">
        <v>34</v>
      </c>
      <c r="D8" s="10">
        <v>1.3</v>
      </c>
      <c r="E8" s="10"/>
      <c r="F8" s="10" t="s">
        <v>101</v>
      </c>
      <c r="G8" s="11"/>
      <c r="H8" s="13"/>
      <c r="I8" s="10"/>
      <c r="J8" s="10"/>
      <c r="K8" s="11"/>
      <c r="L8" s="10"/>
    </row>
    <row r="9" ht="13.5" customHeight="1">
      <c r="A9" s="10" t="s">
        <v>108</v>
      </c>
      <c r="B9" s="10">
        <v>2.23022577E8</v>
      </c>
      <c r="C9" s="10" t="s">
        <v>34</v>
      </c>
      <c r="D9" s="10">
        <v>1.3</v>
      </c>
      <c r="E9" s="10"/>
      <c r="F9" s="10" t="s">
        <v>111</v>
      </c>
      <c r="G9" s="11"/>
      <c r="H9" s="13"/>
      <c r="I9" s="10"/>
      <c r="J9" s="10"/>
      <c r="K9" s="11"/>
      <c r="L9" s="10"/>
    </row>
    <row r="10" ht="13.5" customHeight="1">
      <c r="A10" s="18" t="s">
        <v>108</v>
      </c>
      <c r="B10" s="18">
        <v>2.23022577E8</v>
      </c>
      <c r="C10" s="10" t="s">
        <v>34</v>
      </c>
      <c r="D10" s="10">
        <v>1.3</v>
      </c>
      <c r="E10" s="10"/>
      <c r="F10" s="10" t="s">
        <v>123</v>
      </c>
      <c r="G10" s="11"/>
      <c r="H10" s="13"/>
      <c r="I10" s="10"/>
      <c r="J10" s="10"/>
      <c r="K10" s="11"/>
      <c r="L10" s="10"/>
    </row>
    <row r="11" ht="13.5" customHeight="1">
      <c r="A11" s="10"/>
      <c r="B11" s="10"/>
      <c r="C11" s="10"/>
      <c r="D11" s="10"/>
      <c r="E11" s="10"/>
      <c r="F11" s="10"/>
      <c r="G11" s="11"/>
      <c r="H11" s="13"/>
      <c r="I11" s="10"/>
      <c r="J11" s="10"/>
      <c r="K11" s="11"/>
      <c r="L11" s="10"/>
    </row>
    <row r="12" ht="13.5" customHeight="1">
      <c r="A12" s="10"/>
      <c r="B12" s="10"/>
      <c r="C12" s="10"/>
      <c r="D12" s="10"/>
      <c r="E12" s="10"/>
      <c r="F12" s="10"/>
      <c r="G12" s="11"/>
      <c r="H12" s="13"/>
      <c r="I12" s="10"/>
      <c r="J12" s="10"/>
      <c r="K12" s="11"/>
      <c r="L12" s="10"/>
    </row>
    <row r="13" ht="13.5" customHeight="1">
      <c r="A13" s="10"/>
      <c r="B13" s="10"/>
      <c r="C13" s="10"/>
      <c r="D13" s="10"/>
      <c r="E13" s="10"/>
      <c r="F13" s="10"/>
      <c r="G13" s="11"/>
      <c r="H13" s="13"/>
      <c r="I13" s="10"/>
      <c r="J13" s="10"/>
      <c r="K13" s="11"/>
      <c r="L13" s="10"/>
    </row>
    <row r="14" ht="13.5" customHeight="1">
      <c r="A14" s="10"/>
      <c r="B14" s="10"/>
      <c r="C14" s="10"/>
      <c r="D14" s="10"/>
      <c r="E14" s="10"/>
      <c r="F14" s="10"/>
      <c r="G14" s="11"/>
      <c r="H14" s="13"/>
      <c r="I14" s="10"/>
      <c r="J14" s="10"/>
      <c r="K14" s="11"/>
      <c r="L14" s="10"/>
    </row>
    <row r="15" ht="13.5" customHeight="1">
      <c r="A15" s="10"/>
      <c r="B15" s="10"/>
      <c r="C15" s="10"/>
      <c r="D15" s="10"/>
      <c r="E15" s="10"/>
      <c r="F15" s="10"/>
      <c r="G15" s="11"/>
      <c r="H15" s="13"/>
      <c r="I15" s="10"/>
      <c r="J15" s="10"/>
      <c r="K15" s="11"/>
      <c r="L15" s="10"/>
    </row>
    <row r="16" ht="13.5" customHeight="1">
      <c r="A16" s="10"/>
      <c r="B16" s="10"/>
      <c r="C16" s="10"/>
      <c r="D16" s="10"/>
      <c r="E16" s="10"/>
      <c r="F16" s="10"/>
      <c r="G16" s="11"/>
      <c r="H16" s="13"/>
      <c r="I16" s="10"/>
      <c r="J16" s="10"/>
      <c r="K16" s="11"/>
      <c r="L16" s="10"/>
    </row>
    <row r="17" ht="13.5" customHeight="1">
      <c r="A17" s="10"/>
      <c r="B17" s="10"/>
      <c r="C17" s="10"/>
      <c r="D17" s="10"/>
      <c r="E17" s="10"/>
      <c r="F17" s="10"/>
      <c r="G17" s="11"/>
      <c r="H17" s="13"/>
      <c r="I17" s="10"/>
      <c r="J17" s="10"/>
      <c r="K17" s="11"/>
      <c r="L17" s="10"/>
    </row>
    <row r="18" ht="13.5" customHeight="1">
      <c r="A18" s="10"/>
      <c r="B18" s="10"/>
      <c r="C18" s="10"/>
      <c r="D18" s="10"/>
      <c r="E18" s="10"/>
      <c r="F18" s="10"/>
      <c r="G18" s="11"/>
      <c r="H18" s="13"/>
      <c r="I18" s="10"/>
      <c r="J18" s="10"/>
      <c r="K18" s="11"/>
      <c r="L18" s="10"/>
    </row>
    <row r="19" ht="13.5" customHeight="1">
      <c r="A19" s="10"/>
      <c r="B19" s="10"/>
      <c r="C19" s="10"/>
      <c r="D19" s="10"/>
      <c r="E19" s="10"/>
      <c r="F19" s="10"/>
      <c r="G19" s="11"/>
      <c r="H19" s="13"/>
      <c r="I19" s="10"/>
      <c r="J19" s="10"/>
      <c r="K19" s="11"/>
      <c r="L19" s="10"/>
    </row>
    <row r="20" ht="13.5" customHeight="1">
      <c r="A20" s="10"/>
      <c r="B20" s="10"/>
      <c r="C20" s="10"/>
      <c r="D20" s="10"/>
      <c r="E20" s="10"/>
      <c r="F20" s="10"/>
      <c r="G20" s="11"/>
      <c r="H20" s="13"/>
      <c r="I20" s="10"/>
      <c r="J20" s="10"/>
      <c r="K20" s="11"/>
      <c r="L20" s="10"/>
    </row>
    <row r="21" ht="13.5" customHeight="1">
      <c r="A21" s="10"/>
      <c r="B21" s="10"/>
      <c r="C21" s="10"/>
      <c r="D21" s="10"/>
      <c r="E21" s="10"/>
      <c r="F21" s="10"/>
      <c r="G21" s="11"/>
      <c r="H21" s="13"/>
      <c r="I21" s="10"/>
      <c r="J21" s="10"/>
      <c r="K21" s="11"/>
      <c r="L21" s="10"/>
    </row>
    <row r="22" ht="13.5" customHeight="1">
      <c r="A22" s="10"/>
      <c r="B22" s="10"/>
      <c r="C22" s="10"/>
      <c r="D22" s="10"/>
      <c r="E22" s="10"/>
      <c r="F22" s="10"/>
      <c r="G22" s="11"/>
      <c r="H22" s="13"/>
      <c r="I22" s="10"/>
      <c r="J22" s="10"/>
      <c r="K22" s="11"/>
      <c r="L22" s="10"/>
    </row>
    <row r="23" ht="13.5" customHeight="1">
      <c r="A23" s="10"/>
      <c r="B23" s="10"/>
      <c r="C23" s="10"/>
      <c r="D23" s="10"/>
      <c r="E23" s="10"/>
      <c r="F23" s="10"/>
      <c r="G23" s="11"/>
      <c r="H23" s="13"/>
      <c r="I23" s="10"/>
      <c r="J23" s="10"/>
      <c r="K23" s="11"/>
      <c r="L23" s="10"/>
    </row>
    <row r="24" ht="13.5" customHeight="1">
      <c r="A24" s="10"/>
      <c r="B24" s="10"/>
      <c r="C24" s="10"/>
      <c r="D24" s="10"/>
      <c r="E24" s="10"/>
      <c r="F24" s="10"/>
      <c r="G24" s="11"/>
      <c r="H24" s="13"/>
      <c r="I24" s="10"/>
      <c r="J24" s="10"/>
      <c r="K24" s="11"/>
      <c r="L24" s="10"/>
    </row>
    <row r="25" ht="13.5" customHeight="1">
      <c r="A25" s="10"/>
      <c r="B25" s="10"/>
      <c r="C25" s="10"/>
      <c r="D25" s="10"/>
      <c r="E25" s="10"/>
      <c r="F25" s="10"/>
      <c r="G25" s="11"/>
      <c r="H25" s="13"/>
      <c r="I25" s="10"/>
      <c r="J25" s="10"/>
      <c r="K25" s="11"/>
      <c r="L25" s="10"/>
    </row>
    <row r="26" ht="13.5" customHeight="1">
      <c r="A26" s="10"/>
      <c r="B26" s="10"/>
      <c r="C26" s="10"/>
      <c r="D26" s="10"/>
      <c r="E26" s="10"/>
      <c r="F26" s="10"/>
      <c r="G26" s="11"/>
      <c r="H26" s="13"/>
      <c r="I26" s="10"/>
      <c r="J26" s="10"/>
      <c r="K26" s="11"/>
      <c r="L26" s="10"/>
    </row>
    <row r="27" ht="13.5" customHeight="1">
      <c r="A27" s="10"/>
      <c r="B27" s="10"/>
      <c r="C27" s="10"/>
      <c r="D27" s="10"/>
      <c r="E27" s="10"/>
      <c r="F27" s="10"/>
      <c r="G27" s="11"/>
      <c r="H27" s="13"/>
      <c r="I27" s="10"/>
      <c r="J27" s="10"/>
      <c r="K27" s="11"/>
      <c r="L27" s="10"/>
    </row>
    <row r="28" ht="13.5" customHeight="1">
      <c r="A28" s="10"/>
      <c r="B28" s="10"/>
      <c r="C28" s="10"/>
      <c r="D28" s="10"/>
      <c r="E28" s="10"/>
      <c r="F28" s="10"/>
      <c r="G28" s="11"/>
      <c r="H28" s="13"/>
      <c r="I28" s="10"/>
      <c r="J28" s="10"/>
      <c r="K28" s="11"/>
      <c r="L28" s="10"/>
    </row>
    <row r="29" ht="13.5" customHeight="1">
      <c r="A29" s="10"/>
      <c r="B29" s="10"/>
      <c r="C29" s="10"/>
      <c r="D29" s="10"/>
      <c r="E29" s="10"/>
      <c r="F29" s="10"/>
      <c r="G29" s="11"/>
      <c r="H29" s="13"/>
      <c r="I29" s="10"/>
      <c r="J29" s="10"/>
      <c r="K29" s="11"/>
      <c r="L29" s="10"/>
    </row>
    <row r="30" ht="13.5" customHeight="1">
      <c r="A30" s="10"/>
      <c r="B30" s="10"/>
      <c r="C30" s="10"/>
      <c r="D30" s="10"/>
      <c r="E30" s="10"/>
      <c r="F30" s="10"/>
      <c r="G30" s="11"/>
      <c r="H30" s="13"/>
      <c r="I30" s="10"/>
      <c r="J30" s="10"/>
      <c r="K30" s="11"/>
      <c r="L30" s="10"/>
    </row>
    <row r="31" ht="13.5" customHeight="1">
      <c r="A31" s="10"/>
      <c r="B31" s="10"/>
      <c r="C31" s="10"/>
      <c r="D31" s="10"/>
      <c r="E31" s="10"/>
      <c r="F31" s="10"/>
      <c r="G31" s="11"/>
      <c r="H31" s="13"/>
      <c r="I31" s="10"/>
      <c r="J31" s="10"/>
      <c r="K31" s="11"/>
      <c r="L31" s="10"/>
    </row>
    <row r="32" ht="13.5" customHeight="1">
      <c r="A32" s="10"/>
      <c r="B32" s="10"/>
      <c r="C32" s="10"/>
      <c r="D32" s="10"/>
      <c r="E32" s="10"/>
      <c r="F32" s="10"/>
      <c r="G32" s="11"/>
      <c r="H32" s="13"/>
      <c r="I32" s="10"/>
      <c r="J32" s="10"/>
      <c r="K32" s="11"/>
      <c r="L32" s="10"/>
    </row>
    <row r="33" ht="13.5" customHeight="1">
      <c r="A33" s="10"/>
      <c r="B33" s="10"/>
      <c r="C33" s="10"/>
      <c r="D33" s="10"/>
      <c r="E33" s="10"/>
      <c r="F33" s="10"/>
      <c r="G33" s="11"/>
      <c r="H33" s="13"/>
      <c r="I33" s="10"/>
      <c r="J33" s="10"/>
      <c r="K33" s="11"/>
      <c r="L33" s="10"/>
    </row>
    <row r="34" ht="13.5" customHeight="1">
      <c r="A34" s="10"/>
      <c r="B34" s="10"/>
      <c r="C34" s="10"/>
      <c r="D34" s="10"/>
      <c r="E34" s="10"/>
      <c r="F34" s="10"/>
      <c r="G34" s="11"/>
      <c r="H34" s="13"/>
      <c r="I34" s="10"/>
      <c r="J34" s="10"/>
      <c r="K34" s="11"/>
      <c r="L34" s="10"/>
    </row>
    <row r="35" ht="13.5" customHeight="1">
      <c r="A35" s="10"/>
      <c r="B35" s="10"/>
      <c r="C35" s="10"/>
      <c r="D35" s="10"/>
      <c r="E35" s="10"/>
      <c r="F35" s="10"/>
      <c r="G35" s="11"/>
      <c r="H35" s="13"/>
      <c r="I35" s="10"/>
      <c r="J35" s="10"/>
      <c r="K35" s="11"/>
      <c r="L35" s="10"/>
    </row>
    <row r="36" ht="13.5" customHeight="1">
      <c r="A36" s="10"/>
      <c r="B36" s="10"/>
      <c r="C36" s="10"/>
      <c r="D36" s="10"/>
      <c r="E36" s="10"/>
      <c r="F36" s="10"/>
      <c r="G36" s="11"/>
      <c r="H36" s="13"/>
      <c r="I36" s="10"/>
      <c r="J36" s="10"/>
      <c r="K36" s="11"/>
      <c r="L36" s="10"/>
    </row>
    <row r="37" ht="13.5" customHeight="1">
      <c r="A37" s="10"/>
      <c r="B37" s="10"/>
      <c r="C37" s="10"/>
      <c r="D37" s="10"/>
      <c r="E37" s="10"/>
      <c r="F37" s="10"/>
      <c r="G37" s="11"/>
      <c r="H37" s="13"/>
      <c r="I37" s="10"/>
      <c r="J37" s="10"/>
      <c r="K37" s="11"/>
      <c r="L37" s="10"/>
    </row>
    <row r="38" ht="13.5" customHeight="1">
      <c r="A38" s="10"/>
      <c r="B38" s="10"/>
      <c r="C38" s="10"/>
      <c r="D38" s="10"/>
      <c r="E38" s="10"/>
      <c r="F38" s="10"/>
      <c r="G38" s="11"/>
      <c r="H38" s="13"/>
      <c r="I38" s="10"/>
      <c r="J38" s="10"/>
      <c r="K38" s="11"/>
      <c r="L38" s="10"/>
    </row>
    <row r="39" ht="13.5" customHeight="1">
      <c r="A39" s="10"/>
      <c r="B39" s="10"/>
      <c r="C39" s="10"/>
      <c r="D39" s="10"/>
      <c r="E39" s="10"/>
      <c r="F39" s="10"/>
      <c r="G39" s="11"/>
      <c r="H39" s="13"/>
      <c r="I39" s="10"/>
      <c r="J39" s="10"/>
      <c r="K39" s="11"/>
      <c r="L39" s="10"/>
    </row>
    <row r="40" ht="13.5" customHeight="1">
      <c r="A40" s="10"/>
      <c r="B40" s="10"/>
      <c r="C40" s="10"/>
      <c r="D40" s="10"/>
      <c r="E40" s="10"/>
      <c r="F40" s="10"/>
      <c r="G40" s="11"/>
      <c r="H40" s="13"/>
      <c r="I40" s="10"/>
      <c r="J40" s="10"/>
      <c r="K40" s="11"/>
      <c r="L40" s="10"/>
    </row>
    <row r="41" ht="13.5" customHeight="1">
      <c r="A41" s="10"/>
      <c r="B41" s="10"/>
      <c r="C41" s="10"/>
      <c r="D41" s="10"/>
      <c r="E41" s="10"/>
      <c r="F41" s="10"/>
      <c r="G41" s="11"/>
      <c r="H41" s="13"/>
      <c r="I41" s="10"/>
      <c r="J41" s="10"/>
      <c r="K41" s="11"/>
      <c r="L41" s="10"/>
    </row>
    <row r="42" ht="13.5" customHeight="1">
      <c r="A42" s="10"/>
      <c r="B42" s="10"/>
      <c r="C42" s="10"/>
      <c r="D42" s="10"/>
      <c r="E42" s="10"/>
      <c r="F42" s="10"/>
      <c r="G42" s="11"/>
      <c r="H42" s="13"/>
      <c r="I42" s="10"/>
      <c r="J42" s="10"/>
      <c r="K42" s="11"/>
      <c r="L42" s="10"/>
    </row>
    <row r="43" ht="13.5" customHeight="1">
      <c r="A43" s="10"/>
      <c r="B43" s="10"/>
      <c r="C43" s="10"/>
      <c r="D43" s="10"/>
      <c r="E43" s="10"/>
      <c r="F43" s="10"/>
      <c r="G43" s="11"/>
      <c r="H43" s="13"/>
      <c r="I43" s="10"/>
      <c r="J43" s="10"/>
      <c r="K43" s="11"/>
      <c r="L43" s="10"/>
    </row>
    <row r="44" ht="13.5" customHeight="1">
      <c r="A44" s="10"/>
      <c r="B44" s="10"/>
      <c r="C44" s="10"/>
      <c r="D44" s="10"/>
      <c r="E44" s="10"/>
      <c r="F44" s="10"/>
      <c r="G44" s="11"/>
      <c r="H44" s="13"/>
      <c r="I44" s="10"/>
      <c r="J44" s="10"/>
      <c r="K44" s="11"/>
      <c r="L44" s="10"/>
    </row>
    <row r="45" ht="13.5" customHeight="1">
      <c r="A45" s="10"/>
      <c r="B45" s="10"/>
      <c r="C45" s="10"/>
      <c r="D45" s="10"/>
      <c r="E45" s="10"/>
      <c r="F45" s="10"/>
      <c r="G45" s="11"/>
      <c r="H45" s="13"/>
      <c r="I45" s="10"/>
      <c r="J45" s="10"/>
      <c r="K45" s="11"/>
      <c r="L45" s="10"/>
    </row>
    <row r="46" ht="13.5" customHeight="1">
      <c r="A46" s="10"/>
      <c r="B46" s="10"/>
      <c r="C46" s="10"/>
      <c r="D46" s="10"/>
      <c r="E46" s="10"/>
      <c r="F46" s="10"/>
      <c r="G46" s="11"/>
      <c r="H46" s="13"/>
      <c r="I46" s="10"/>
      <c r="J46" s="10"/>
      <c r="K46" s="11"/>
      <c r="L46" s="10"/>
    </row>
    <row r="47" ht="13.5" customHeight="1">
      <c r="A47" s="10"/>
      <c r="B47" s="10"/>
      <c r="C47" s="10"/>
      <c r="D47" s="10"/>
      <c r="E47" s="10"/>
      <c r="F47" s="10"/>
      <c r="G47" s="11"/>
      <c r="H47" s="13"/>
      <c r="I47" s="10"/>
      <c r="J47" s="10"/>
      <c r="K47" s="11"/>
      <c r="L47" s="10"/>
    </row>
    <row r="48" ht="13.5" customHeight="1">
      <c r="A48" s="10"/>
      <c r="B48" s="10"/>
      <c r="C48" s="10"/>
      <c r="D48" s="10"/>
      <c r="E48" s="10"/>
      <c r="F48" s="10"/>
      <c r="G48" s="11"/>
      <c r="H48" s="13"/>
      <c r="I48" s="10"/>
      <c r="J48" s="10"/>
      <c r="K48" s="11"/>
      <c r="L48" s="10"/>
    </row>
    <row r="49" ht="13.5" customHeight="1">
      <c r="A49" s="10"/>
      <c r="B49" s="10"/>
      <c r="C49" s="10"/>
      <c r="D49" s="10"/>
      <c r="E49" s="10"/>
      <c r="F49" s="10"/>
      <c r="G49" s="11"/>
      <c r="H49" s="13"/>
      <c r="I49" s="10"/>
      <c r="J49" s="10"/>
      <c r="K49" s="11"/>
      <c r="L49" s="10"/>
    </row>
    <row r="50" ht="13.5" customHeight="1">
      <c r="A50" s="10"/>
      <c r="B50" s="10"/>
      <c r="C50" s="10"/>
      <c r="D50" s="10"/>
      <c r="E50" s="10"/>
      <c r="F50" s="10"/>
      <c r="G50" s="11"/>
      <c r="H50" s="13"/>
      <c r="I50" s="10"/>
      <c r="J50" s="10"/>
      <c r="K50" s="11"/>
      <c r="L50" s="10"/>
    </row>
    <row r="51" ht="13.5" customHeight="1">
      <c r="A51" s="10"/>
      <c r="B51" s="10"/>
      <c r="C51" s="10"/>
      <c r="D51" s="10"/>
      <c r="E51" s="10"/>
      <c r="F51" s="10"/>
      <c r="G51" s="11"/>
      <c r="H51" s="13"/>
      <c r="I51" s="10"/>
      <c r="J51" s="10"/>
      <c r="K51" s="11"/>
      <c r="L51" s="10"/>
    </row>
    <row r="52" ht="13.5" customHeight="1">
      <c r="A52" s="10"/>
      <c r="B52" s="10"/>
      <c r="C52" s="10"/>
      <c r="D52" s="10"/>
      <c r="E52" s="10"/>
      <c r="F52" s="10"/>
      <c r="G52" s="11"/>
      <c r="H52" s="13"/>
      <c r="I52" s="10"/>
      <c r="J52" s="10"/>
      <c r="K52" s="11"/>
      <c r="L52" s="10"/>
    </row>
    <row r="53" ht="13.5" customHeight="1">
      <c r="A53" s="10"/>
      <c r="B53" s="10"/>
      <c r="C53" s="10"/>
      <c r="D53" s="10"/>
      <c r="E53" s="10"/>
      <c r="F53" s="10"/>
      <c r="G53" s="11"/>
      <c r="H53" s="13"/>
      <c r="I53" s="10"/>
      <c r="J53" s="10"/>
      <c r="K53" s="11"/>
      <c r="L53" s="10"/>
    </row>
    <row r="54" ht="13.5" customHeight="1">
      <c r="A54" s="10"/>
      <c r="B54" s="10"/>
      <c r="C54" s="10"/>
      <c r="D54" s="10"/>
      <c r="E54" s="10"/>
      <c r="F54" s="10"/>
      <c r="G54" s="11"/>
      <c r="H54" s="13"/>
      <c r="I54" s="10"/>
      <c r="J54" s="10"/>
      <c r="K54" s="11"/>
      <c r="L54" s="10"/>
    </row>
    <row r="55" ht="13.5" customHeight="1">
      <c r="A55" s="10"/>
      <c r="B55" s="10"/>
      <c r="C55" s="10"/>
      <c r="D55" s="10"/>
      <c r="E55" s="10"/>
      <c r="F55" s="10"/>
      <c r="G55" s="11"/>
      <c r="H55" s="13"/>
      <c r="I55" s="10"/>
      <c r="J55" s="10"/>
      <c r="K55" s="11"/>
      <c r="L55" s="10"/>
    </row>
    <row r="56" ht="13.5" customHeight="1">
      <c r="A56" s="10"/>
      <c r="B56" s="10"/>
      <c r="C56" s="10"/>
      <c r="D56" s="10"/>
      <c r="E56" s="10"/>
      <c r="F56" s="10"/>
      <c r="G56" s="11"/>
      <c r="H56" s="13"/>
      <c r="I56" s="10"/>
      <c r="J56" s="10"/>
      <c r="K56" s="11"/>
      <c r="L56" s="10"/>
    </row>
    <row r="57" ht="13.5" customHeight="1">
      <c r="A57" s="10"/>
      <c r="B57" s="10"/>
      <c r="C57" s="10"/>
      <c r="D57" s="10"/>
      <c r="E57" s="10"/>
      <c r="F57" s="10"/>
      <c r="G57" s="11"/>
      <c r="H57" s="13"/>
      <c r="I57" s="10"/>
      <c r="J57" s="10"/>
      <c r="K57" s="11"/>
      <c r="L57" s="10"/>
    </row>
    <row r="58" ht="13.5" customHeight="1">
      <c r="A58" s="10"/>
      <c r="B58" s="10"/>
      <c r="C58" s="10"/>
      <c r="D58" s="10"/>
      <c r="E58" s="10"/>
      <c r="F58" s="10"/>
      <c r="G58" s="11"/>
      <c r="H58" s="13"/>
      <c r="I58" s="10"/>
      <c r="J58" s="10"/>
      <c r="K58" s="11"/>
      <c r="L58" s="10"/>
    </row>
    <row r="59" ht="13.5" customHeight="1">
      <c r="A59" s="10"/>
      <c r="B59" s="10"/>
      <c r="C59" s="10"/>
      <c r="D59" s="10"/>
      <c r="E59" s="10"/>
      <c r="F59" s="10"/>
      <c r="G59" s="11"/>
      <c r="H59" s="13"/>
      <c r="I59" s="10"/>
      <c r="J59" s="10"/>
      <c r="K59" s="11"/>
      <c r="L59" s="10"/>
    </row>
    <row r="60" ht="13.5" customHeight="1">
      <c r="A60" s="10"/>
      <c r="B60" s="10"/>
      <c r="C60" s="10"/>
      <c r="D60" s="10"/>
      <c r="E60" s="10"/>
      <c r="F60" s="10"/>
      <c r="G60" s="11"/>
      <c r="H60" s="13"/>
      <c r="I60" s="10"/>
      <c r="J60" s="10"/>
      <c r="K60" s="11"/>
      <c r="L60" s="10"/>
    </row>
    <row r="61" ht="13.5" customHeight="1">
      <c r="A61" s="10"/>
      <c r="B61" s="10"/>
      <c r="C61" s="10"/>
      <c r="D61" s="10"/>
      <c r="E61" s="10"/>
      <c r="F61" s="10"/>
      <c r="G61" s="11"/>
      <c r="H61" s="13"/>
      <c r="I61" s="10"/>
      <c r="J61" s="10"/>
      <c r="K61" s="11"/>
      <c r="L61" s="10"/>
    </row>
    <row r="62" ht="13.5" customHeight="1">
      <c r="A62" s="10"/>
      <c r="B62" s="10"/>
      <c r="C62" s="10"/>
      <c r="D62" s="10"/>
      <c r="E62" s="10"/>
      <c r="F62" s="10"/>
      <c r="G62" s="11"/>
      <c r="H62" s="13"/>
      <c r="I62" s="10"/>
      <c r="J62" s="10"/>
      <c r="K62" s="11"/>
      <c r="L62" s="10"/>
    </row>
    <row r="63" ht="13.5" customHeight="1">
      <c r="A63" s="10"/>
      <c r="B63" s="10"/>
      <c r="C63" s="10"/>
      <c r="D63" s="10"/>
      <c r="E63" s="10"/>
      <c r="F63" s="10"/>
      <c r="G63" s="11"/>
      <c r="H63" s="13"/>
      <c r="I63" s="10"/>
      <c r="J63" s="10"/>
      <c r="K63" s="11"/>
      <c r="L63" s="10"/>
    </row>
    <row r="64" ht="13.5" customHeight="1">
      <c r="A64" s="10"/>
      <c r="B64" s="10"/>
      <c r="C64" s="10"/>
      <c r="D64" s="10"/>
      <c r="E64" s="10"/>
      <c r="F64" s="10"/>
      <c r="G64" s="11"/>
      <c r="H64" s="13"/>
      <c r="I64" s="10"/>
      <c r="J64" s="10"/>
      <c r="K64" s="11"/>
      <c r="L64" s="10"/>
    </row>
    <row r="65" ht="13.5" customHeight="1">
      <c r="A65" s="10"/>
      <c r="B65" s="10"/>
      <c r="C65" s="10"/>
      <c r="D65" s="10"/>
      <c r="E65" s="10"/>
      <c r="F65" s="10"/>
      <c r="G65" s="11"/>
      <c r="H65" s="13"/>
      <c r="I65" s="10"/>
      <c r="J65" s="10"/>
      <c r="K65" s="11"/>
      <c r="L65" s="10"/>
    </row>
    <row r="66" ht="13.5" customHeight="1">
      <c r="A66" s="10"/>
      <c r="B66" s="10"/>
      <c r="C66" s="10"/>
      <c r="D66" s="10"/>
      <c r="E66" s="10"/>
      <c r="F66" s="10"/>
      <c r="G66" s="11"/>
      <c r="H66" s="13"/>
      <c r="I66" s="10"/>
      <c r="J66" s="10"/>
      <c r="K66" s="11"/>
      <c r="L66" s="10"/>
    </row>
    <row r="67" ht="13.5" customHeight="1">
      <c r="A67" s="10"/>
      <c r="B67" s="10"/>
      <c r="C67" s="10"/>
      <c r="D67" s="10"/>
      <c r="E67" s="10"/>
      <c r="F67" s="10"/>
      <c r="G67" s="11"/>
      <c r="H67" s="13"/>
      <c r="I67" s="10"/>
      <c r="J67" s="10"/>
      <c r="K67" s="11"/>
      <c r="L67" s="10"/>
    </row>
    <row r="68" ht="13.5" customHeight="1">
      <c r="A68" s="10"/>
      <c r="B68" s="10"/>
      <c r="C68" s="10"/>
      <c r="D68" s="10"/>
      <c r="E68" s="10"/>
      <c r="F68" s="10"/>
      <c r="G68" s="11"/>
      <c r="H68" s="13"/>
      <c r="I68" s="10"/>
      <c r="J68" s="10"/>
      <c r="K68" s="11"/>
      <c r="L68" s="10"/>
    </row>
    <row r="69" ht="13.5" customHeight="1">
      <c r="A69" s="10"/>
      <c r="B69" s="10"/>
      <c r="C69" s="10"/>
      <c r="D69" s="10"/>
      <c r="E69" s="10"/>
      <c r="F69" s="10"/>
      <c r="G69" s="11"/>
      <c r="H69" s="13"/>
      <c r="I69" s="10"/>
      <c r="J69" s="10"/>
      <c r="K69" s="11"/>
      <c r="L69" s="10"/>
    </row>
    <row r="70" ht="13.5" customHeight="1">
      <c r="A70" s="10"/>
      <c r="B70" s="10"/>
      <c r="C70" s="10"/>
      <c r="D70" s="10"/>
      <c r="E70" s="10"/>
      <c r="F70" s="10"/>
      <c r="G70" s="11"/>
      <c r="H70" s="13"/>
      <c r="I70" s="10"/>
      <c r="J70" s="10"/>
      <c r="K70" s="11"/>
      <c r="L70" s="10"/>
    </row>
    <row r="71" ht="13.5" customHeight="1">
      <c r="A71" s="10"/>
      <c r="B71" s="10"/>
      <c r="C71" s="10"/>
      <c r="D71" s="10"/>
      <c r="E71" s="10"/>
      <c r="F71" s="10"/>
      <c r="G71" s="11"/>
      <c r="H71" s="13"/>
      <c r="I71" s="10"/>
      <c r="J71" s="10"/>
      <c r="K71" s="11"/>
      <c r="L71" s="10"/>
    </row>
    <row r="72" ht="13.5" customHeight="1">
      <c r="A72" s="10"/>
      <c r="B72" s="10"/>
      <c r="C72" s="10"/>
      <c r="D72" s="10"/>
      <c r="E72" s="10"/>
      <c r="F72" s="10"/>
      <c r="G72" s="11"/>
      <c r="H72" s="13"/>
      <c r="I72" s="10"/>
      <c r="J72" s="10"/>
      <c r="K72" s="11"/>
      <c r="L72" s="10"/>
    </row>
    <row r="73" ht="13.5" customHeight="1">
      <c r="A73" s="10"/>
      <c r="B73" s="10"/>
      <c r="C73" s="10"/>
      <c r="D73" s="10"/>
      <c r="E73" s="10"/>
      <c r="F73" s="10"/>
      <c r="G73" s="11"/>
      <c r="H73" s="13"/>
      <c r="I73" s="10"/>
      <c r="J73" s="10"/>
      <c r="K73" s="11"/>
      <c r="L73" s="10"/>
    </row>
    <row r="74" ht="13.5" customHeight="1">
      <c r="A74" s="10"/>
      <c r="B74" s="10"/>
      <c r="C74" s="10"/>
      <c r="D74" s="10"/>
      <c r="E74" s="10"/>
      <c r="F74" s="10"/>
      <c r="G74" s="11"/>
      <c r="H74" s="13"/>
      <c r="I74" s="10"/>
      <c r="J74" s="10"/>
      <c r="K74" s="11"/>
      <c r="L74" s="10"/>
    </row>
    <row r="75" ht="13.5" customHeight="1">
      <c r="A75" s="10"/>
      <c r="B75" s="10"/>
      <c r="C75" s="10"/>
      <c r="D75" s="10"/>
      <c r="E75" s="10"/>
      <c r="F75" s="10"/>
      <c r="G75" s="11"/>
      <c r="H75" s="13"/>
      <c r="I75" s="10"/>
      <c r="J75" s="10"/>
      <c r="K75" s="11"/>
      <c r="L75" s="10"/>
    </row>
    <row r="76" ht="13.5" customHeight="1">
      <c r="A76" s="10"/>
      <c r="B76" s="10"/>
      <c r="C76" s="10"/>
      <c r="D76" s="10"/>
      <c r="E76" s="10"/>
      <c r="F76" s="10"/>
      <c r="G76" s="11"/>
      <c r="H76" s="13"/>
      <c r="I76" s="10"/>
      <c r="J76" s="10"/>
      <c r="K76" s="11"/>
      <c r="L76" s="10"/>
    </row>
    <row r="77" ht="13.5" customHeight="1">
      <c r="A77" s="10"/>
      <c r="B77" s="10"/>
      <c r="C77" s="10"/>
      <c r="D77" s="10"/>
      <c r="E77" s="10"/>
      <c r="F77" s="10"/>
      <c r="G77" s="11"/>
      <c r="H77" s="13"/>
      <c r="I77" s="10"/>
      <c r="J77" s="10"/>
      <c r="K77" s="11"/>
      <c r="L77" s="10"/>
    </row>
    <row r="78" ht="13.5" customHeight="1">
      <c r="A78" s="10"/>
      <c r="B78" s="10"/>
      <c r="C78" s="10"/>
      <c r="D78" s="10"/>
      <c r="E78" s="10"/>
      <c r="F78" s="10"/>
      <c r="G78" s="11"/>
      <c r="H78" s="13"/>
      <c r="I78" s="10"/>
      <c r="J78" s="10"/>
      <c r="K78" s="11"/>
      <c r="L78" s="10"/>
    </row>
    <row r="79" ht="13.5" customHeight="1">
      <c r="A79" s="10"/>
      <c r="B79" s="10"/>
      <c r="C79" s="10"/>
      <c r="D79" s="10"/>
      <c r="E79" s="10"/>
      <c r="F79" s="10"/>
      <c r="G79" s="11"/>
      <c r="H79" s="13"/>
      <c r="I79" s="10"/>
      <c r="J79" s="10"/>
      <c r="K79" s="11"/>
      <c r="L79" s="10"/>
    </row>
    <row r="80" ht="13.5" customHeight="1">
      <c r="A80" s="10"/>
      <c r="B80" s="10"/>
      <c r="C80" s="10"/>
      <c r="D80" s="10"/>
      <c r="E80" s="10"/>
      <c r="F80" s="10"/>
      <c r="G80" s="11"/>
      <c r="H80" s="13"/>
      <c r="I80" s="10"/>
      <c r="J80" s="10"/>
      <c r="K80" s="11"/>
      <c r="L80" s="10"/>
    </row>
    <row r="81" ht="13.5" customHeight="1">
      <c r="A81" s="10"/>
      <c r="B81" s="10"/>
      <c r="C81" s="10"/>
      <c r="D81" s="10"/>
      <c r="E81" s="10"/>
      <c r="F81" s="10"/>
      <c r="G81" s="11"/>
      <c r="H81" s="13"/>
      <c r="I81" s="10"/>
      <c r="J81" s="10"/>
      <c r="K81" s="11"/>
      <c r="L81" s="10"/>
    </row>
    <row r="82" ht="13.5" customHeight="1">
      <c r="A82" s="10"/>
      <c r="B82" s="10"/>
      <c r="C82" s="10"/>
      <c r="D82" s="10"/>
      <c r="E82" s="10"/>
      <c r="F82" s="10"/>
      <c r="G82" s="11"/>
      <c r="H82" s="13"/>
      <c r="I82" s="10"/>
      <c r="J82" s="10"/>
      <c r="K82" s="11"/>
      <c r="L82" s="10"/>
    </row>
    <row r="83" ht="13.5" customHeight="1">
      <c r="A83" s="10"/>
      <c r="B83" s="10"/>
      <c r="C83" s="10"/>
      <c r="D83" s="10"/>
      <c r="E83" s="10"/>
      <c r="F83" s="10"/>
      <c r="G83" s="11"/>
      <c r="H83" s="13"/>
      <c r="I83" s="10"/>
      <c r="J83" s="10"/>
      <c r="K83" s="11"/>
      <c r="L83" s="10"/>
    </row>
    <row r="84" ht="13.5" customHeight="1">
      <c r="A84" s="10"/>
      <c r="B84" s="10"/>
      <c r="C84" s="10"/>
      <c r="D84" s="10"/>
      <c r="E84" s="10"/>
      <c r="F84" s="10"/>
      <c r="G84" s="11"/>
      <c r="H84" s="13"/>
      <c r="I84" s="10"/>
      <c r="J84" s="10"/>
      <c r="K84" s="11"/>
      <c r="L84" s="10"/>
    </row>
    <row r="85" ht="13.5" customHeight="1">
      <c r="A85" s="10"/>
      <c r="B85" s="10"/>
      <c r="C85" s="10"/>
      <c r="D85" s="10"/>
      <c r="E85" s="10"/>
      <c r="F85" s="10"/>
      <c r="G85" s="11"/>
      <c r="H85" s="13"/>
      <c r="I85" s="10"/>
      <c r="J85" s="10"/>
      <c r="K85" s="11"/>
      <c r="L85" s="10"/>
    </row>
    <row r="86" ht="13.5" customHeight="1">
      <c r="A86" s="10"/>
      <c r="B86" s="10"/>
      <c r="C86" s="10"/>
      <c r="D86" s="10"/>
      <c r="E86" s="10"/>
      <c r="F86" s="10"/>
      <c r="G86" s="11"/>
      <c r="H86" s="13"/>
      <c r="I86" s="10"/>
      <c r="J86" s="10"/>
      <c r="K86" s="11"/>
      <c r="L86" s="10"/>
    </row>
    <row r="87" ht="13.5" customHeight="1">
      <c r="A87" s="10"/>
      <c r="B87" s="10"/>
      <c r="C87" s="10"/>
      <c r="D87" s="10"/>
      <c r="E87" s="10"/>
      <c r="F87" s="10"/>
      <c r="G87" s="11"/>
      <c r="H87" s="13"/>
      <c r="I87" s="10"/>
      <c r="J87" s="10"/>
      <c r="K87" s="11"/>
      <c r="L87" s="10"/>
    </row>
    <row r="88" ht="13.5" customHeight="1">
      <c r="A88" s="10"/>
      <c r="B88" s="10"/>
      <c r="C88" s="10"/>
      <c r="D88" s="10"/>
      <c r="E88" s="10"/>
      <c r="F88" s="10"/>
      <c r="G88" s="11"/>
      <c r="H88" s="13"/>
      <c r="I88" s="10"/>
      <c r="J88" s="10"/>
      <c r="K88" s="11"/>
      <c r="L88" s="10"/>
    </row>
    <row r="89" ht="13.5" customHeight="1">
      <c r="A89" s="10"/>
      <c r="B89" s="10"/>
      <c r="C89" s="10"/>
      <c r="D89" s="10"/>
      <c r="E89" s="10"/>
      <c r="F89" s="10"/>
      <c r="G89" s="11"/>
      <c r="H89" s="13"/>
      <c r="I89" s="10"/>
      <c r="J89" s="10"/>
      <c r="K89" s="11"/>
      <c r="L89" s="10"/>
    </row>
    <row r="90" ht="13.5" customHeight="1">
      <c r="A90" s="10"/>
      <c r="B90" s="10"/>
      <c r="C90" s="10"/>
      <c r="D90" s="10"/>
      <c r="E90" s="10"/>
      <c r="F90" s="10"/>
      <c r="G90" s="11"/>
      <c r="H90" s="13"/>
      <c r="I90" s="10"/>
      <c r="J90" s="10"/>
      <c r="K90" s="11"/>
      <c r="L90" s="10"/>
    </row>
    <row r="91" ht="13.5" customHeight="1">
      <c r="A91" s="10"/>
      <c r="B91" s="10"/>
      <c r="C91" s="10"/>
      <c r="D91" s="10"/>
      <c r="E91" s="10"/>
      <c r="F91" s="10"/>
      <c r="G91" s="11"/>
      <c r="H91" s="13"/>
      <c r="I91" s="10"/>
      <c r="J91" s="10"/>
      <c r="K91" s="11"/>
      <c r="L91" s="10"/>
    </row>
    <row r="92" ht="13.5" customHeight="1">
      <c r="A92" s="10"/>
      <c r="B92" s="10"/>
      <c r="C92" s="10"/>
      <c r="D92" s="10"/>
      <c r="E92" s="10"/>
      <c r="F92" s="10"/>
      <c r="G92" s="11"/>
      <c r="H92" s="13"/>
      <c r="I92" s="10"/>
      <c r="J92" s="10"/>
      <c r="K92" s="11"/>
      <c r="L92" s="10"/>
    </row>
    <row r="93" ht="13.5" customHeight="1">
      <c r="A93" s="10"/>
      <c r="B93" s="10"/>
      <c r="C93" s="10"/>
      <c r="D93" s="10"/>
      <c r="E93" s="10"/>
      <c r="F93" s="10"/>
      <c r="G93" s="11"/>
      <c r="H93" s="13"/>
      <c r="I93" s="10"/>
      <c r="J93" s="10"/>
      <c r="K93" s="11"/>
      <c r="L93" s="10"/>
    </row>
    <row r="94" ht="13.5" customHeight="1">
      <c r="A94" s="10"/>
      <c r="B94" s="10"/>
      <c r="C94" s="10"/>
      <c r="D94" s="10"/>
      <c r="E94" s="10"/>
      <c r="F94" s="10"/>
      <c r="G94" s="11"/>
      <c r="H94" s="13"/>
      <c r="I94" s="10"/>
      <c r="J94" s="10"/>
      <c r="K94" s="11"/>
      <c r="L94" s="10"/>
    </row>
    <row r="95" ht="13.5" customHeight="1">
      <c r="A95" s="10"/>
      <c r="B95" s="10"/>
      <c r="C95" s="10"/>
      <c r="D95" s="10"/>
      <c r="E95" s="10"/>
      <c r="F95" s="10"/>
      <c r="G95" s="11"/>
      <c r="H95" s="13"/>
      <c r="I95" s="10"/>
      <c r="J95" s="10"/>
      <c r="K95" s="11"/>
      <c r="L95" s="10"/>
    </row>
    <row r="96" ht="13.5" customHeight="1">
      <c r="A96" s="10"/>
      <c r="B96" s="10"/>
      <c r="C96" s="10"/>
      <c r="D96" s="10"/>
      <c r="E96" s="10"/>
      <c r="F96" s="10"/>
      <c r="G96" s="11"/>
      <c r="H96" s="13"/>
      <c r="I96" s="10"/>
      <c r="J96" s="10"/>
      <c r="K96" s="11"/>
      <c r="L96" s="10"/>
    </row>
    <row r="97" ht="13.5" customHeight="1">
      <c r="A97" s="10"/>
      <c r="B97" s="10"/>
      <c r="C97" s="10"/>
      <c r="D97" s="10"/>
      <c r="E97" s="10"/>
      <c r="F97" s="10"/>
      <c r="G97" s="11"/>
      <c r="H97" s="13"/>
      <c r="I97" s="10"/>
      <c r="J97" s="10"/>
      <c r="K97" s="11"/>
      <c r="L97" s="10"/>
    </row>
    <row r="98" ht="13.5" customHeight="1">
      <c r="A98" s="10"/>
      <c r="B98" s="10"/>
      <c r="C98" s="10"/>
      <c r="D98" s="10"/>
      <c r="E98" s="10"/>
      <c r="F98" s="10"/>
      <c r="G98" s="11"/>
      <c r="H98" s="13"/>
      <c r="I98" s="10"/>
      <c r="J98" s="10"/>
      <c r="K98" s="11"/>
      <c r="L98" s="10"/>
    </row>
    <row r="99" ht="13.5" customHeight="1">
      <c r="A99" s="10"/>
      <c r="B99" s="10"/>
      <c r="C99" s="10"/>
      <c r="D99" s="10"/>
      <c r="E99" s="10"/>
      <c r="F99" s="10"/>
      <c r="G99" s="11"/>
      <c r="H99" s="13"/>
      <c r="I99" s="10"/>
      <c r="J99" s="10"/>
      <c r="K99" s="11"/>
      <c r="L99" s="10"/>
    </row>
    <row r="100" ht="13.5" customHeight="1">
      <c r="A100" s="10"/>
      <c r="B100" s="10"/>
      <c r="C100" s="10"/>
      <c r="D100" s="10"/>
      <c r="E100" s="10"/>
      <c r="F100" s="10"/>
      <c r="G100" s="11"/>
      <c r="H100" s="13"/>
      <c r="I100" s="10"/>
      <c r="J100" s="10"/>
      <c r="K100" s="11"/>
      <c r="L100" s="10"/>
    </row>
    <row r="101" ht="13.5" customHeight="1">
      <c r="A101" s="10"/>
      <c r="B101" s="10"/>
      <c r="C101" s="10"/>
      <c r="D101" s="10"/>
      <c r="E101" s="10"/>
      <c r="F101" s="10"/>
      <c r="G101" s="11"/>
      <c r="H101" s="13"/>
      <c r="I101" s="10"/>
      <c r="J101" s="10"/>
      <c r="K101" s="11"/>
      <c r="L101" s="10"/>
    </row>
    <row r="102" ht="13.5" customHeight="1">
      <c r="A102" s="10"/>
      <c r="B102" s="10"/>
      <c r="C102" s="10"/>
      <c r="D102" s="10"/>
      <c r="E102" s="10"/>
      <c r="F102" s="10"/>
      <c r="G102" s="11"/>
      <c r="H102" s="13"/>
      <c r="I102" s="10"/>
      <c r="J102" s="10"/>
      <c r="K102" s="11"/>
      <c r="L102" s="10"/>
    </row>
    <row r="103" ht="13.5" customHeight="1">
      <c r="A103" s="10"/>
      <c r="B103" s="10"/>
      <c r="C103" s="10"/>
      <c r="D103" s="10"/>
      <c r="E103" s="10"/>
      <c r="F103" s="10"/>
      <c r="G103" s="11"/>
      <c r="H103" s="13"/>
      <c r="I103" s="10"/>
      <c r="J103" s="10"/>
      <c r="K103" s="11"/>
      <c r="L103" s="10"/>
    </row>
    <row r="104" ht="13.5" customHeight="1">
      <c r="A104" s="10"/>
      <c r="B104" s="10"/>
      <c r="C104" s="10"/>
      <c r="D104" s="10"/>
      <c r="E104" s="10"/>
      <c r="F104" s="10"/>
      <c r="G104" s="11"/>
      <c r="H104" s="13"/>
      <c r="I104" s="10"/>
      <c r="J104" s="10"/>
      <c r="K104" s="11"/>
      <c r="L104" s="10"/>
    </row>
    <row r="105" ht="13.5" customHeight="1">
      <c r="A105" s="10"/>
      <c r="B105" s="10"/>
      <c r="C105" s="10"/>
      <c r="D105" s="10"/>
      <c r="E105" s="10"/>
      <c r="F105" s="10"/>
      <c r="G105" s="11"/>
      <c r="H105" s="13"/>
      <c r="I105" s="10"/>
      <c r="J105" s="10"/>
      <c r="K105" s="11"/>
      <c r="L105" s="10"/>
    </row>
    <row r="106" ht="13.5" customHeight="1">
      <c r="A106" s="10"/>
      <c r="B106" s="10"/>
      <c r="C106" s="10"/>
      <c r="D106" s="10"/>
      <c r="E106" s="10"/>
      <c r="F106" s="10"/>
      <c r="G106" s="11"/>
      <c r="H106" s="13"/>
      <c r="I106" s="10"/>
      <c r="J106" s="10"/>
      <c r="K106" s="11"/>
      <c r="L106" s="10"/>
    </row>
    <row r="107" ht="13.5" customHeight="1">
      <c r="A107" s="10"/>
      <c r="B107" s="10"/>
      <c r="C107" s="10"/>
      <c r="D107" s="10"/>
      <c r="E107" s="10"/>
      <c r="F107" s="10"/>
      <c r="G107" s="11"/>
      <c r="H107" s="13"/>
      <c r="I107" s="10"/>
      <c r="J107" s="10"/>
      <c r="K107" s="11"/>
      <c r="L107" s="10"/>
    </row>
    <row r="108" ht="13.5" customHeight="1">
      <c r="A108" s="10"/>
      <c r="B108" s="10"/>
      <c r="C108" s="10"/>
      <c r="D108" s="10"/>
      <c r="E108" s="10"/>
      <c r="F108" s="10"/>
      <c r="G108" s="11"/>
      <c r="H108" s="13"/>
      <c r="I108" s="10"/>
      <c r="J108" s="10"/>
      <c r="K108" s="11"/>
      <c r="L108" s="10"/>
    </row>
    <row r="109" ht="13.5" customHeight="1">
      <c r="A109" s="10"/>
      <c r="B109" s="10"/>
      <c r="C109" s="10"/>
      <c r="D109" s="10"/>
      <c r="E109" s="10"/>
      <c r="F109" s="10"/>
      <c r="G109" s="11"/>
      <c r="H109" s="13"/>
      <c r="I109" s="10"/>
      <c r="J109" s="10"/>
      <c r="K109" s="11"/>
      <c r="L109" s="10"/>
    </row>
    <row r="110" ht="13.5" customHeight="1">
      <c r="A110" s="10"/>
      <c r="B110" s="10"/>
      <c r="C110" s="10"/>
      <c r="D110" s="10"/>
      <c r="E110" s="10"/>
      <c r="F110" s="10"/>
      <c r="G110" s="11"/>
      <c r="H110" s="13"/>
      <c r="I110" s="10"/>
      <c r="J110" s="10"/>
      <c r="K110" s="11"/>
      <c r="L110" s="10"/>
    </row>
    <row r="111" ht="13.5" customHeight="1">
      <c r="A111" s="10"/>
      <c r="B111" s="10"/>
      <c r="C111" s="10"/>
      <c r="D111" s="10"/>
      <c r="E111" s="10"/>
      <c r="F111" s="10"/>
      <c r="G111" s="11"/>
      <c r="H111" s="13"/>
      <c r="I111" s="10"/>
      <c r="J111" s="10"/>
      <c r="K111" s="11"/>
      <c r="L111" s="10"/>
    </row>
    <row r="112" ht="13.5" customHeight="1">
      <c r="A112" s="10"/>
      <c r="B112" s="10"/>
      <c r="C112" s="10"/>
      <c r="D112" s="10"/>
      <c r="E112" s="10"/>
      <c r="F112" s="10"/>
      <c r="G112" s="11"/>
      <c r="H112" s="13"/>
      <c r="I112" s="10"/>
      <c r="J112" s="10"/>
      <c r="K112" s="11"/>
      <c r="L112" s="10"/>
    </row>
    <row r="113" ht="13.5" customHeight="1">
      <c r="A113" s="10"/>
      <c r="B113" s="10"/>
      <c r="C113" s="10"/>
      <c r="D113" s="10"/>
      <c r="E113" s="10"/>
      <c r="F113" s="10"/>
      <c r="G113" s="11"/>
      <c r="H113" s="13"/>
      <c r="I113" s="10"/>
      <c r="J113" s="10"/>
      <c r="K113" s="11"/>
      <c r="L113" s="10"/>
    </row>
    <row r="114" ht="13.5" customHeight="1">
      <c r="A114" s="10"/>
      <c r="B114" s="10"/>
      <c r="C114" s="10"/>
      <c r="D114" s="10"/>
      <c r="E114" s="10"/>
      <c r="F114" s="10"/>
      <c r="G114" s="11"/>
      <c r="H114" s="13"/>
      <c r="I114" s="10"/>
      <c r="J114" s="10"/>
      <c r="K114" s="11"/>
      <c r="L114" s="10"/>
    </row>
    <row r="115" ht="13.5" customHeight="1">
      <c r="A115" s="10"/>
      <c r="B115" s="10"/>
      <c r="C115" s="10"/>
      <c r="D115" s="10"/>
      <c r="E115" s="10"/>
      <c r="F115" s="10"/>
      <c r="G115" s="11"/>
      <c r="H115" s="13"/>
      <c r="I115" s="10"/>
      <c r="J115" s="10"/>
      <c r="K115" s="11"/>
      <c r="L115" s="10"/>
    </row>
    <row r="116" ht="13.5" customHeight="1">
      <c r="A116" s="10"/>
      <c r="B116" s="10"/>
      <c r="C116" s="10"/>
      <c r="D116" s="10"/>
      <c r="E116" s="10"/>
      <c r="F116" s="10"/>
      <c r="G116" s="11"/>
      <c r="H116" s="13"/>
      <c r="I116" s="10"/>
      <c r="J116" s="10"/>
      <c r="K116" s="11"/>
      <c r="L116" s="10"/>
    </row>
    <row r="117" ht="13.5" customHeight="1">
      <c r="A117" s="10"/>
      <c r="B117" s="10"/>
      <c r="C117" s="10"/>
      <c r="D117" s="10"/>
      <c r="E117" s="10"/>
      <c r="F117" s="10"/>
      <c r="G117" s="11"/>
      <c r="H117" s="13"/>
      <c r="I117" s="10"/>
      <c r="J117" s="10"/>
      <c r="K117" s="11"/>
      <c r="L117" s="10"/>
    </row>
    <row r="118" ht="13.5" customHeight="1">
      <c r="A118" s="10"/>
      <c r="B118" s="10"/>
      <c r="C118" s="10"/>
      <c r="D118" s="10"/>
      <c r="E118" s="10"/>
      <c r="F118" s="10"/>
      <c r="G118" s="11"/>
      <c r="H118" s="13"/>
      <c r="I118" s="10"/>
      <c r="J118" s="10"/>
      <c r="K118" s="11"/>
      <c r="L118" s="10"/>
    </row>
    <row r="119" ht="13.5" customHeight="1">
      <c r="A119" s="10"/>
      <c r="B119" s="10"/>
      <c r="C119" s="10"/>
      <c r="D119" s="10"/>
      <c r="E119" s="10"/>
      <c r="F119" s="10"/>
      <c r="G119" s="11"/>
      <c r="H119" s="13"/>
      <c r="I119" s="10"/>
      <c r="J119" s="10"/>
      <c r="K119" s="11"/>
      <c r="L119" s="10"/>
    </row>
    <row r="120" ht="13.5" customHeight="1">
      <c r="A120" s="10"/>
      <c r="B120" s="10"/>
      <c r="C120" s="10"/>
      <c r="D120" s="10"/>
      <c r="E120" s="10"/>
      <c r="F120" s="10"/>
      <c r="G120" s="11"/>
      <c r="H120" s="13"/>
      <c r="I120" s="10"/>
      <c r="J120" s="10"/>
      <c r="K120" s="11"/>
      <c r="L120" s="10"/>
    </row>
    <row r="121" ht="13.5" customHeight="1">
      <c r="A121" s="10"/>
      <c r="B121" s="10"/>
      <c r="C121" s="10"/>
      <c r="D121" s="10"/>
      <c r="E121" s="10"/>
      <c r="F121" s="10"/>
      <c r="G121" s="11"/>
      <c r="H121" s="13"/>
      <c r="I121" s="10"/>
      <c r="J121" s="10"/>
      <c r="K121" s="11"/>
      <c r="L121" s="10"/>
    </row>
    <row r="122" ht="13.5" customHeight="1">
      <c r="A122" s="10"/>
      <c r="B122" s="10"/>
      <c r="C122" s="10"/>
      <c r="D122" s="10"/>
      <c r="E122" s="10"/>
      <c r="F122" s="10"/>
      <c r="G122" s="11"/>
      <c r="H122" s="13"/>
      <c r="I122" s="10"/>
      <c r="J122" s="10"/>
      <c r="K122" s="11"/>
      <c r="L122" s="10"/>
    </row>
    <row r="123" ht="13.5" customHeight="1">
      <c r="A123" s="10"/>
      <c r="B123" s="10"/>
      <c r="C123" s="10"/>
      <c r="D123" s="10"/>
      <c r="E123" s="10"/>
      <c r="F123" s="10"/>
      <c r="G123" s="11"/>
      <c r="H123" s="13"/>
      <c r="I123" s="10"/>
      <c r="J123" s="10"/>
      <c r="K123" s="11"/>
      <c r="L123" s="10"/>
    </row>
    <row r="124" ht="13.5" customHeight="1">
      <c r="A124" s="10"/>
      <c r="B124" s="10"/>
      <c r="C124" s="10"/>
      <c r="D124" s="10"/>
      <c r="E124" s="10"/>
      <c r="F124" s="10"/>
      <c r="G124" s="11"/>
      <c r="H124" s="13"/>
      <c r="I124" s="10"/>
      <c r="J124" s="10"/>
      <c r="K124" s="11"/>
      <c r="L124" s="10"/>
    </row>
    <row r="125" ht="13.5" customHeight="1">
      <c r="A125" s="10"/>
      <c r="B125" s="10"/>
      <c r="C125" s="10"/>
      <c r="D125" s="10"/>
      <c r="E125" s="10"/>
      <c r="F125" s="10"/>
      <c r="G125" s="11"/>
      <c r="H125" s="13"/>
      <c r="I125" s="10"/>
      <c r="J125" s="10"/>
      <c r="K125" s="11"/>
      <c r="L125" s="10"/>
    </row>
    <row r="126" ht="13.5" customHeight="1">
      <c r="A126" s="10"/>
      <c r="B126" s="10"/>
      <c r="C126" s="10"/>
      <c r="D126" s="10"/>
      <c r="E126" s="10"/>
      <c r="F126" s="10"/>
      <c r="G126" s="11"/>
      <c r="H126" s="13"/>
      <c r="I126" s="10"/>
      <c r="J126" s="10"/>
      <c r="K126" s="11"/>
      <c r="L126" s="10"/>
    </row>
    <row r="127" ht="13.5" customHeight="1">
      <c r="A127" s="10"/>
      <c r="B127" s="10"/>
      <c r="C127" s="10"/>
      <c r="D127" s="10"/>
      <c r="E127" s="10"/>
      <c r="F127" s="10"/>
      <c r="G127" s="11"/>
      <c r="H127" s="13"/>
      <c r="I127" s="10"/>
      <c r="J127" s="10"/>
      <c r="K127" s="11"/>
      <c r="L127" s="10"/>
    </row>
    <row r="128" ht="13.5" customHeight="1">
      <c r="A128" s="10"/>
      <c r="B128" s="10"/>
      <c r="C128" s="10"/>
      <c r="D128" s="10"/>
      <c r="E128" s="10"/>
      <c r="F128" s="10"/>
      <c r="G128" s="11"/>
      <c r="H128" s="13"/>
      <c r="I128" s="10"/>
      <c r="J128" s="10"/>
      <c r="K128" s="11"/>
      <c r="L128" s="10"/>
    </row>
    <row r="129" ht="13.5" customHeight="1">
      <c r="A129" s="10"/>
      <c r="B129" s="10"/>
      <c r="C129" s="10"/>
      <c r="D129" s="10"/>
      <c r="E129" s="10"/>
      <c r="F129" s="10"/>
      <c r="G129" s="11"/>
      <c r="H129" s="13"/>
      <c r="I129" s="10"/>
      <c r="J129" s="10"/>
      <c r="K129" s="11"/>
      <c r="L129" s="10"/>
    </row>
    <row r="130" ht="13.5" customHeight="1">
      <c r="A130" s="10"/>
      <c r="B130" s="10"/>
      <c r="C130" s="10"/>
      <c r="D130" s="10"/>
      <c r="E130" s="10"/>
      <c r="F130" s="10"/>
      <c r="G130" s="11"/>
      <c r="H130" s="13"/>
      <c r="I130" s="10"/>
      <c r="J130" s="10"/>
      <c r="K130" s="11"/>
      <c r="L130" s="10"/>
    </row>
    <row r="131" ht="13.5" customHeight="1">
      <c r="A131" s="10"/>
      <c r="B131" s="10"/>
      <c r="C131" s="10"/>
      <c r="D131" s="10"/>
      <c r="E131" s="10"/>
      <c r="F131" s="10"/>
      <c r="G131" s="11"/>
      <c r="H131" s="13"/>
      <c r="I131" s="10"/>
      <c r="J131" s="10"/>
      <c r="K131" s="11"/>
      <c r="L131" s="10"/>
    </row>
    <row r="132" ht="13.5" customHeight="1">
      <c r="A132" s="10"/>
      <c r="B132" s="10"/>
      <c r="C132" s="10"/>
      <c r="D132" s="10"/>
      <c r="E132" s="10"/>
      <c r="F132" s="10"/>
      <c r="G132" s="11"/>
      <c r="H132" s="13"/>
      <c r="I132" s="10"/>
      <c r="J132" s="10"/>
      <c r="K132" s="11"/>
      <c r="L132" s="10"/>
    </row>
    <row r="133" ht="13.5" customHeight="1">
      <c r="A133" s="10"/>
      <c r="B133" s="10"/>
      <c r="C133" s="10"/>
      <c r="D133" s="10"/>
      <c r="E133" s="10"/>
      <c r="F133" s="10"/>
      <c r="G133" s="11"/>
      <c r="H133" s="13"/>
      <c r="I133" s="10"/>
      <c r="J133" s="10"/>
      <c r="K133" s="11"/>
      <c r="L133" s="10"/>
    </row>
    <row r="134" ht="13.5" customHeight="1">
      <c r="A134" s="10"/>
      <c r="B134" s="10"/>
      <c r="C134" s="10"/>
      <c r="D134" s="10"/>
      <c r="E134" s="10"/>
      <c r="F134" s="10"/>
      <c r="G134" s="11"/>
      <c r="H134" s="13"/>
      <c r="I134" s="10"/>
      <c r="J134" s="10"/>
      <c r="K134" s="11"/>
      <c r="L134" s="10"/>
    </row>
    <row r="135" ht="13.5" customHeight="1">
      <c r="A135" s="10"/>
      <c r="B135" s="10"/>
      <c r="C135" s="10"/>
      <c r="D135" s="10"/>
      <c r="E135" s="10"/>
      <c r="F135" s="10"/>
      <c r="G135" s="11"/>
      <c r="H135" s="13"/>
      <c r="I135" s="10"/>
      <c r="J135" s="10"/>
      <c r="K135" s="11"/>
      <c r="L135" s="10"/>
    </row>
    <row r="136" ht="13.5" customHeight="1">
      <c r="A136" s="10"/>
      <c r="B136" s="10"/>
      <c r="C136" s="10"/>
      <c r="D136" s="10"/>
      <c r="E136" s="10"/>
      <c r="F136" s="10"/>
      <c r="G136" s="11"/>
      <c r="H136" s="13"/>
      <c r="I136" s="10"/>
      <c r="J136" s="10"/>
      <c r="K136" s="11"/>
      <c r="L136" s="10"/>
    </row>
    <row r="137" ht="13.5" customHeight="1">
      <c r="A137" s="10"/>
      <c r="B137" s="10"/>
      <c r="C137" s="10"/>
      <c r="D137" s="10"/>
      <c r="E137" s="10"/>
      <c r="F137" s="10"/>
      <c r="G137" s="11"/>
      <c r="H137" s="13"/>
      <c r="I137" s="10"/>
      <c r="J137" s="10"/>
      <c r="K137" s="11"/>
      <c r="L137" s="10"/>
    </row>
    <row r="138" ht="13.5" customHeight="1">
      <c r="A138" s="10"/>
      <c r="B138" s="10"/>
      <c r="C138" s="10"/>
      <c r="D138" s="10"/>
      <c r="E138" s="10"/>
      <c r="F138" s="10"/>
      <c r="G138" s="11"/>
      <c r="H138" s="13"/>
      <c r="I138" s="10"/>
      <c r="J138" s="10"/>
      <c r="K138" s="11"/>
      <c r="L138" s="10"/>
    </row>
    <row r="139" ht="13.5" customHeight="1">
      <c r="A139" s="10"/>
      <c r="B139" s="10"/>
      <c r="C139" s="10"/>
      <c r="D139" s="10"/>
      <c r="E139" s="10"/>
      <c r="F139" s="10"/>
      <c r="G139" s="11"/>
      <c r="H139" s="13"/>
      <c r="I139" s="10"/>
      <c r="J139" s="10"/>
      <c r="K139" s="11"/>
      <c r="L139" s="10"/>
    </row>
    <row r="140" ht="13.5" customHeight="1">
      <c r="A140" s="10"/>
      <c r="B140" s="10"/>
      <c r="C140" s="10"/>
      <c r="D140" s="10"/>
      <c r="E140" s="10"/>
      <c r="F140" s="10"/>
      <c r="G140" s="11"/>
      <c r="H140" s="13"/>
      <c r="I140" s="10"/>
      <c r="J140" s="10"/>
      <c r="K140" s="11"/>
      <c r="L140" s="10"/>
    </row>
    <row r="141" ht="13.5" customHeight="1">
      <c r="A141" s="10"/>
      <c r="B141" s="10"/>
      <c r="C141" s="10"/>
      <c r="D141" s="10"/>
      <c r="E141" s="10"/>
      <c r="F141" s="10"/>
      <c r="G141" s="11"/>
      <c r="H141" s="13"/>
      <c r="I141" s="10"/>
      <c r="J141" s="10"/>
      <c r="K141" s="11"/>
      <c r="L141" s="10"/>
    </row>
    <row r="142" ht="13.5" customHeight="1">
      <c r="A142" s="10"/>
      <c r="B142" s="10"/>
      <c r="C142" s="10"/>
      <c r="D142" s="10"/>
      <c r="E142" s="10"/>
      <c r="F142" s="10"/>
      <c r="G142" s="11"/>
      <c r="H142" s="13"/>
      <c r="I142" s="10"/>
      <c r="J142" s="10"/>
      <c r="K142" s="11"/>
      <c r="L142" s="10"/>
    </row>
    <row r="143" ht="13.5" customHeight="1">
      <c r="A143" s="10"/>
      <c r="B143" s="10"/>
      <c r="C143" s="10"/>
      <c r="D143" s="10"/>
      <c r="E143" s="10"/>
      <c r="F143" s="10"/>
      <c r="G143" s="11"/>
      <c r="H143" s="13"/>
      <c r="I143" s="10"/>
      <c r="J143" s="10"/>
      <c r="K143" s="11"/>
      <c r="L143" s="10"/>
    </row>
    <row r="144" ht="13.5" customHeight="1">
      <c r="A144" s="10"/>
      <c r="B144" s="10"/>
      <c r="C144" s="10"/>
      <c r="D144" s="10"/>
      <c r="E144" s="10"/>
      <c r="F144" s="10"/>
      <c r="G144" s="11"/>
      <c r="H144" s="13"/>
      <c r="I144" s="10"/>
      <c r="J144" s="10"/>
      <c r="K144" s="11"/>
      <c r="L144" s="10"/>
    </row>
    <row r="145" ht="13.5" customHeight="1">
      <c r="A145" s="10"/>
      <c r="B145" s="10"/>
      <c r="C145" s="10"/>
      <c r="D145" s="10"/>
      <c r="E145" s="10"/>
      <c r="F145" s="10"/>
      <c r="G145" s="11"/>
      <c r="H145" s="13"/>
      <c r="I145" s="10"/>
      <c r="J145" s="10"/>
      <c r="K145" s="11"/>
      <c r="L145" s="10"/>
    </row>
    <row r="146" ht="13.5" customHeight="1">
      <c r="A146" s="10"/>
      <c r="B146" s="10"/>
      <c r="C146" s="10"/>
      <c r="D146" s="10"/>
      <c r="E146" s="10"/>
      <c r="F146" s="10"/>
      <c r="G146" s="11"/>
      <c r="H146" s="13"/>
      <c r="I146" s="10"/>
      <c r="J146" s="10"/>
      <c r="K146" s="11"/>
      <c r="L146" s="10"/>
    </row>
    <row r="147" ht="13.5" customHeight="1">
      <c r="A147" s="10"/>
      <c r="B147" s="10"/>
      <c r="C147" s="10"/>
      <c r="D147" s="10"/>
      <c r="E147" s="10"/>
      <c r="F147" s="10"/>
      <c r="G147" s="11"/>
      <c r="H147" s="13"/>
      <c r="I147" s="10"/>
      <c r="J147" s="10"/>
      <c r="K147" s="11"/>
      <c r="L147" s="10"/>
    </row>
    <row r="148" ht="13.5" customHeight="1">
      <c r="A148" s="10"/>
      <c r="B148" s="10"/>
      <c r="C148" s="10"/>
      <c r="D148" s="10"/>
      <c r="E148" s="10"/>
      <c r="F148" s="10"/>
      <c r="G148" s="11"/>
      <c r="H148" s="13"/>
      <c r="I148" s="10"/>
      <c r="J148" s="10"/>
      <c r="K148" s="11"/>
      <c r="L148" s="10"/>
    </row>
    <row r="149" ht="13.5" customHeight="1">
      <c r="A149" s="10"/>
      <c r="B149" s="10"/>
      <c r="C149" s="10"/>
      <c r="D149" s="10"/>
      <c r="E149" s="10"/>
      <c r="F149" s="10"/>
      <c r="G149" s="11"/>
      <c r="H149" s="13"/>
      <c r="I149" s="10"/>
      <c r="J149" s="10"/>
      <c r="K149" s="11"/>
      <c r="L149" s="10"/>
    </row>
    <row r="150" ht="13.5" customHeight="1">
      <c r="A150" s="10"/>
      <c r="B150" s="10"/>
      <c r="C150" s="10"/>
      <c r="D150" s="10"/>
      <c r="E150" s="10"/>
      <c r="F150" s="10"/>
      <c r="G150" s="11"/>
      <c r="H150" s="13"/>
      <c r="I150" s="10"/>
      <c r="J150" s="10"/>
      <c r="K150" s="11"/>
      <c r="L150" s="10"/>
    </row>
    <row r="151" ht="13.5" customHeight="1">
      <c r="A151" s="10"/>
      <c r="B151" s="10"/>
      <c r="C151" s="10"/>
      <c r="D151" s="10"/>
      <c r="E151" s="10"/>
      <c r="F151" s="10"/>
      <c r="G151" s="11"/>
      <c r="H151" s="13"/>
      <c r="I151" s="10"/>
      <c r="J151" s="10"/>
      <c r="K151" s="11"/>
      <c r="L151" s="10"/>
    </row>
    <row r="152" ht="13.5" customHeight="1">
      <c r="A152" s="10"/>
      <c r="B152" s="10"/>
      <c r="C152" s="10"/>
      <c r="D152" s="10"/>
      <c r="E152" s="10"/>
      <c r="F152" s="10"/>
      <c r="G152" s="11"/>
      <c r="H152" s="13"/>
      <c r="I152" s="10"/>
      <c r="J152" s="10"/>
      <c r="K152" s="11"/>
      <c r="L152" s="10"/>
    </row>
    <row r="153" ht="13.5" customHeight="1">
      <c r="A153" s="10"/>
      <c r="B153" s="10"/>
      <c r="C153" s="10"/>
      <c r="D153" s="10"/>
      <c r="E153" s="10"/>
      <c r="F153" s="10"/>
      <c r="G153" s="11"/>
      <c r="H153" s="13"/>
      <c r="I153" s="10"/>
      <c r="J153" s="10"/>
      <c r="K153" s="11"/>
      <c r="L153" s="10"/>
    </row>
    <row r="154" ht="13.5" customHeight="1">
      <c r="A154" s="10"/>
      <c r="B154" s="10"/>
      <c r="C154" s="10"/>
      <c r="D154" s="10"/>
      <c r="E154" s="10"/>
      <c r="F154" s="10"/>
      <c r="G154" s="11"/>
      <c r="H154" s="13"/>
      <c r="I154" s="10"/>
      <c r="J154" s="10"/>
      <c r="K154" s="11"/>
      <c r="L154" s="10"/>
    </row>
    <row r="155" ht="13.5" customHeight="1">
      <c r="A155" s="10"/>
      <c r="B155" s="10"/>
      <c r="C155" s="10"/>
      <c r="D155" s="10"/>
      <c r="E155" s="10"/>
      <c r="F155" s="10"/>
      <c r="G155" s="11"/>
      <c r="H155" s="13"/>
      <c r="I155" s="10"/>
      <c r="J155" s="10"/>
      <c r="K155" s="11"/>
      <c r="L155" s="10"/>
    </row>
    <row r="156" ht="13.5" customHeight="1">
      <c r="A156" s="10"/>
      <c r="B156" s="10"/>
      <c r="C156" s="10"/>
      <c r="D156" s="10"/>
      <c r="E156" s="10"/>
      <c r="F156" s="10"/>
      <c r="G156" s="11"/>
      <c r="H156" s="13"/>
      <c r="I156" s="10"/>
      <c r="J156" s="10"/>
      <c r="K156" s="11"/>
      <c r="L156" s="10"/>
    </row>
    <row r="157" ht="13.5" customHeight="1">
      <c r="A157" s="10"/>
      <c r="B157" s="10"/>
      <c r="C157" s="10"/>
      <c r="D157" s="10"/>
      <c r="E157" s="10"/>
      <c r="F157" s="10"/>
      <c r="G157" s="11"/>
      <c r="H157" s="13"/>
      <c r="I157" s="10"/>
      <c r="J157" s="10"/>
      <c r="K157" s="11"/>
      <c r="L157" s="10"/>
    </row>
    <row r="158" ht="13.5" customHeight="1">
      <c r="A158" s="10"/>
      <c r="B158" s="10"/>
      <c r="C158" s="10"/>
      <c r="D158" s="10"/>
      <c r="E158" s="10"/>
      <c r="F158" s="10"/>
      <c r="G158" s="11"/>
      <c r="H158" s="13"/>
      <c r="I158" s="10"/>
      <c r="J158" s="10"/>
      <c r="K158" s="11"/>
      <c r="L158" s="10"/>
    </row>
    <row r="159" ht="13.5" customHeight="1">
      <c r="A159" s="10"/>
      <c r="B159" s="10"/>
      <c r="C159" s="10"/>
      <c r="D159" s="10"/>
      <c r="E159" s="10"/>
      <c r="F159" s="10"/>
      <c r="G159" s="11"/>
      <c r="H159" s="13"/>
      <c r="I159" s="10"/>
      <c r="J159" s="10"/>
      <c r="K159" s="11"/>
      <c r="L159" s="10"/>
    </row>
    <row r="160" ht="13.5" customHeight="1">
      <c r="A160" s="10"/>
      <c r="B160" s="10"/>
      <c r="C160" s="10"/>
      <c r="D160" s="10"/>
      <c r="E160" s="10"/>
      <c r="F160" s="10"/>
      <c r="G160" s="11"/>
      <c r="H160" s="13"/>
      <c r="I160" s="10"/>
      <c r="J160" s="10"/>
      <c r="K160" s="11"/>
      <c r="L160" s="10"/>
    </row>
    <row r="161" ht="13.5" customHeight="1">
      <c r="A161" s="10"/>
      <c r="B161" s="10"/>
      <c r="C161" s="10"/>
      <c r="D161" s="10"/>
      <c r="E161" s="10"/>
      <c r="F161" s="10"/>
      <c r="G161" s="11"/>
      <c r="H161" s="13"/>
      <c r="I161" s="10"/>
      <c r="J161" s="10"/>
      <c r="K161" s="11"/>
      <c r="L161" s="10"/>
    </row>
    <row r="162" ht="13.5" customHeight="1">
      <c r="A162" s="10"/>
      <c r="B162" s="10"/>
      <c r="C162" s="10"/>
      <c r="D162" s="10"/>
      <c r="E162" s="10"/>
      <c r="F162" s="10"/>
      <c r="G162" s="11"/>
      <c r="H162" s="13"/>
      <c r="I162" s="10"/>
      <c r="J162" s="10"/>
      <c r="K162" s="11"/>
      <c r="L162" s="10"/>
    </row>
    <row r="163" ht="13.5" customHeight="1">
      <c r="A163" s="10"/>
      <c r="B163" s="10"/>
      <c r="C163" s="10"/>
      <c r="D163" s="10"/>
      <c r="E163" s="10"/>
      <c r="F163" s="10"/>
      <c r="G163" s="11"/>
      <c r="H163" s="13"/>
      <c r="I163" s="10"/>
      <c r="J163" s="10"/>
      <c r="K163" s="11"/>
      <c r="L163" s="10"/>
    </row>
    <row r="164" ht="13.5" customHeight="1">
      <c r="A164" s="10"/>
      <c r="B164" s="10"/>
      <c r="C164" s="10"/>
      <c r="D164" s="10"/>
      <c r="E164" s="10"/>
      <c r="F164" s="10"/>
      <c r="G164" s="11"/>
      <c r="H164" s="13"/>
      <c r="I164" s="10"/>
      <c r="J164" s="10"/>
      <c r="K164" s="11"/>
      <c r="L164" s="10"/>
    </row>
    <row r="165" ht="13.5" customHeight="1">
      <c r="A165" s="10"/>
      <c r="B165" s="10"/>
      <c r="C165" s="10"/>
      <c r="D165" s="10"/>
      <c r="E165" s="10"/>
      <c r="F165" s="10"/>
      <c r="G165" s="11"/>
      <c r="H165" s="13"/>
      <c r="I165" s="10"/>
      <c r="J165" s="10"/>
      <c r="K165" s="11"/>
      <c r="L165" s="10"/>
    </row>
    <row r="166" ht="13.5" customHeight="1">
      <c r="A166" s="10"/>
      <c r="B166" s="10"/>
      <c r="C166" s="10"/>
      <c r="D166" s="10"/>
      <c r="E166" s="10"/>
      <c r="F166" s="10"/>
      <c r="G166" s="11"/>
      <c r="H166" s="13"/>
      <c r="I166" s="10"/>
      <c r="J166" s="10"/>
      <c r="K166" s="11"/>
      <c r="L166" s="10"/>
    </row>
    <row r="167" ht="13.5" customHeight="1">
      <c r="A167" s="10"/>
      <c r="B167" s="10"/>
      <c r="C167" s="10"/>
      <c r="D167" s="10"/>
      <c r="E167" s="10"/>
      <c r="F167" s="10"/>
      <c r="G167" s="11"/>
      <c r="H167" s="13"/>
      <c r="I167" s="10"/>
      <c r="J167" s="10"/>
      <c r="K167" s="11"/>
      <c r="L167" s="10"/>
    </row>
    <row r="168" ht="13.5" customHeight="1">
      <c r="A168" s="10"/>
      <c r="B168" s="10"/>
      <c r="C168" s="10"/>
      <c r="D168" s="10"/>
      <c r="E168" s="10"/>
      <c r="F168" s="10"/>
      <c r="G168" s="11"/>
      <c r="H168" s="13"/>
      <c r="I168" s="10"/>
      <c r="J168" s="10"/>
      <c r="K168" s="11"/>
      <c r="L168" s="10"/>
    </row>
    <row r="169" ht="13.5" customHeight="1">
      <c r="A169" s="10"/>
      <c r="B169" s="10"/>
      <c r="C169" s="10"/>
      <c r="D169" s="10"/>
      <c r="E169" s="10"/>
      <c r="F169" s="10"/>
      <c r="G169" s="11"/>
      <c r="H169" s="13"/>
      <c r="I169" s="10"/>
      <c r="J169" s="10"/>
      <c r="K169" s="11"/>
      <c r="L169" s="10"/>
    </row>
    <row r="170" ht="13.5" customHeight="1">
      <c r="A170" s="10"/>
      <c r="B170" s="10"/>
      <c r="C170" s="10"/>
      <c r="D170" s="10"/>
      <c r="E170" s="10"/>
      <c r="F170" s="10"/>
      <c r="G170" s="11"/>
      <c r="H170" s="13"/>
      <c r="I170" s="10"/>
      <c r="J170" s="10"/>
      <c r="K170" s="11"/>
      <c r="L170" s="10"/>
    </row>
    <row r="171" ht="13.5" customHeight="1">
      <c r="A171" s="10"/>
      <c r="B171" s="10"/>
      <c r="C171" s="10"/>
      <c r="D171" s="10"/>
      <c r="E171" s="10"/>
      <c r="F171" s="10"/>
      <c r="G171" s="11"/>
      <c r="H171" s="13"/>
      <c r="I171" s="10"/>
      <c r="J171" s="10"/>
      <c r="K171" s="11"/>
      <c r="L171" s="10"/>
    </row>
    <row r="172" ht="13.5" customHeight="1">
      <c r="A172" s="10"/>
      <c r="B172" s="10"/>
      <c r="C172" s="10"/>
      <c r="D172" s="10"/>
      <c r="E172" s="10"/>
      <c r="F172" s="10"/>
      <c r="G172" s="11"/>
      <c r="H172" s="13"/>
      <c r="I172" s="10"/>
      <c r="J172" s="10"/>
      <c r="K172" s="11"/>
      <c r="L172" s="10"/>
    </row>
    <row r="173" ht="13.5" customHeight="1">
      <c r="A173" s="10"/>
      <c r="B173" s="10"/>
      <c r="C173" s="10"/>
      <c r="D173" s="10"/>
      <c r="E173" s="10"/>
      <c r="F173" s="10"/>
      <c r="G173" s="11"/>
      <c r="H173" s="13"/>
      <c r="I173" s="10"/>
      <c r="J173" s="10"/>
      <c r="K173" s="11"/>
      <c r="L173" s="10"/>
    </row>
    <row r="174" ht="13.5" customHeight="1">
      <c r="A174" s="10"/>
      <c r="B174" s="10"/>
      <c r="C174" s="10"/>
      <c r="D174" s="10"/>
      <c r="E174" s="10"/>
      <c r="F174" s="10"/>
      <c r="G174" s="11"/>
      <c r="H174" s="13"/>
      <c r="I174" s="10"/>
      <c r="J174" s="10"/>
      <c r="K174" s="11"/>
      <c r="L174" s="10"/>
    </row>
    <row r="175" ht="13.5" customHeight="1">
      <c r="A175" s="10"/>
      <c r="B175" s="10"/>
      <c r="C175" s="10"/>
      <c r="D175" s="10"/>
      <c r="E175" s="10"/>
      <c r="F175" s="10"/>
      <c r="G175" s="11"/>
      <c r="H175" s="13"/>
      <c r="I175" s="10"/>
      <c r="J175" s="10"/>
      <c r="K175" s="11"/>
      <c r="L175" s="10"/>
    </row>
    <row r="176" ht="13.5" customHeight="1">
      <c r="A176" s="10"/>
      <c r="B176" s="10"/>
      <c r="C176" s="10"/>
      <c r="D176" s="10"/>
      <c r="E176" s="10"/>
      <c r="F176" s="10"/>
      <c r="G176" s="11"/>
      <c r="H176" s="13"/>
      <c r="I176" s="10"/>
      <c r="J176" s="10"/>
      <c r="K176" s="11"/>
      <c r="L176" s="10"/>
    </row>
    <row r="177" ht="13.5" customHeight="1">
      <c r="A177" s="10"/>
      <c r="B177" s="10"/>
      <c r="C177" s="10"/>
      <c r="D177" s="10"/>
      <c r="E177" s="10"/>
      <c r="F177" s="10"/>
      <c r="G177" s="11"/>
      <c r="H177" s="13"/>
      <c r="I177" s="10"/>
      <c r="J177" s="10"/>
      <c r="K177" s="11"/>
      <c r="L177" s="10"/>
    </row>
    <row r="178" ht="13.5" customHeight="1">
      <c r="A178" s="10"/>
      <c r="B178" s="10"/>
      <c r="C178" s="10"/>
      <c r="D178" s="10"/>
      <c r="E178" s="10"/>
      <c r="F178" s="10"/>
      <c r="G178" s="11"/>
      <c r="H178" s="13"/>
      <c r="I178" s="10"/>
      <c r="J178" s="10"/>
      <c r="K178" s="11"/>
      <c r="L178" s="10"/>
    </row>
    <row r="179" ht="13.5" customHeight="1">
      <c r="A179" s="10"/>
      <c r="B179" s="10"/>
      <c r="C179" s="10"/>
      <c r="D179" s="10"/>
      <c r="E179" s="10"/>
      <c r="F179" s="10"/>
      <c r="G179" s="11"/>
      <c r="H179" s="13"/>
      <c r="I179" s="10"/>
      <c r="J179" s="10"/>
      <c r="K179" s="11"/>
      <c r="L179" s="10"/>
    </row>
    <row r="180" ht="13.5" customHeight="1">
      <c r="A180" s="10"/>
      <c r="B180" s="10"/>
      <c r="C180" s="10"/>
      <c r="D180" s="10"/>
      <c r="E180" s="10"/>
      <c r="F180" s="10"/>
      <c r="G180" s="11"/>
      <c r="H180" s="13"/>
      <c r="I180" s="10"/>
      <c r="J180" s="10"/>
      <c r="K180" s="11"/>
      <c r="L180" s="10"/>
    </row>
    <row r="181" ht="13.5" customHeight="1">
      <c r="A181" s="10"/>
      <c r="B181" s="10"/>
      <c r="C181" s="10"/>
      <c r="D181" s="10"/>
      <c r="E181" s="10"/>
      <c r="F181" s="10"/>
      <c r="G181" s="11"/>
      <c r="H181" s="13"/>
      <c r="I181" s="10"/>
      <c r="J181" s="10"/>
      <c r="K181" s="11"/>
      <c r="L181" s="10"/>
    </row>
    <row r="182" ht="13.5" customHeight="1">
      <c r="A182" s="10"/>
      <c r="B182" s="10"/>
      <c r="C182" s="10"/>
      <c r="D182" s="10"/>
      <c r="E182" s="10"/>
      <c r="F182" s="10"/>
      <c r="G182" s="11"/>
      <c r="H182" s="13"/>
      <c r="I182" s="10"/>
      <c r="J182" s="10"/>
      <c r="K182" s="11"/>
      <c r="L182" s="10"/>
    </row>
    <row r="183" ht="13.5" customHeight="1">
      <c r="A183" s="10"/>
      <c r="B183" s="10"/>
      <c r="C183" s="10"/>
      <c r="D183" s="10"/>
      <c r="E183" s="10"/>
      <c r="F183" s="10"/>
      <c r="G183" s="11"/>
      <c r="H183" s="13"/>
      <c r="I183" s="10"/>
      <c r="J183" s="10"/>
      <c r="K183" s="11"/>
      <c r="L183" s="10"/>
    </row>
    <row r="184" ht="13.5" customHeight="1">
      <c r="A184" s="10"/>
      <c r="B184" s="10"/>
      <c r="C184" s="10"/>
      <c r="D184" s="10"/>
      <c r="E184" s="10"/>
      <c r="F184" s="10"/>
      <c r="G184" s="11"/>
      <c r="H184" s="13"/>
      <c r="I184" s="10"/>
      <c r="J184" s="10"/>
      <c r="K184" s="11"/>
      <c r="L184" s="10"/>
    </row>
    <row r="185" ht="13.5" customHeight="1">
      <c r="A185" s="10"/>
      <c r="B185" s="10"/>
      <c r="C185" s="10"/>
      <c r="D185" s="10"/>
      <c r="E185" s="10"/>
      <c r="F185" s="10"/>
      <c r="G185" s="11"/>
      <c r="H185" s="13"/>
      <c r="I185" s="10"/>
      <c r="J185" s="10"/>
      <c r="K185" s="11"/>
      <c r="L185" s="10"/>
    </row>
    <row r="186" ht="13.5" customHeight="1">
      <c r="A186" s="10"/>
      <c r="B186" s="10"/>
      <c r="C186" s="10"/>
      <c r="D186" s="10"/>
      <c r="E186" s="10"/>
      <c r="F186" s="10"/>
      <c r="G186" s="11"/>
      <c r="H186" s="13"/>
      <c r="I186" s="10"/>
      <c r="J186" s="10"/>
      <c r="K186" s="11"/>
      <c r="L186" s="10"/>
    </row>
    <row r="187" ht="13.5" customHeight="1">
      <c r="A187" s="10"/>
      <c r="B187" s="10"/>
      <c r="C187" s="10"/>
      <c r="D187" s="10"/>
      <c r="E187" s="10"/>
      <c r="F187" s="10"/>
      <c r="G187" s="11"/>
      <c r="H187" s="13"/>
      <c r="I187" s="10"/>
      <c r="J187" s="10"/>
      <c r="K187" s="11"/>
      <c r="L187" s="10"/>
    </row>
    <row r="188" ht="13.5" customHeight="1">
      <c r="A188" s="10"/>
      <c r="B188" s="10"/>
      <c r="C188" s="10"/>
      <c r="D188" s="10"/>
      <c r="E188" s="10"/>
      <c r="F188" s="10"/>
      <c r="G188" s="11"/>
      <c r="H188" s="13"/>
      <c r="I188" s="10"/>
      <c r="J188" s="10"/>
      <c r="K188" s="11"/>
      <c r="L188" s="10"/>
    </row>
    <row r="189" ht="13.5" customHeight="1">
      <c r="A189" s="10"/>
      <c r="B189" s="10"/>
      <c r="C189" s="10"/>
      <c r="D189" s="10"/>
      <c r="E189" s="10"/>
      <c r="F189" s="10"/>
      <c r="G189" s="11"/>
      <c r="H189" s="13"/>
      <c r="I189" s="10"/>
      <c r="J189" s="10"/>
      <c r="K189" s="11"/>
      <c r="L189" s="10"/>
    </row>
    <row r="190" ht="13.5" customHeight="1">
      <c r="A190" s="10"/>
      <c r="B190" s="10"/>
      <c r="C190" s="10"/>
      <c r="D190" s="10"/>
      <c r="E190" s="10"/>
      <c r="F190" s="10"/>
      <c r="G190" s="11"/>
      <c r="H190" s="13"/>
      <c r="I190" s="10"/>
      <c r="J190" s="10"/>
      <c r="K190" s="11"/>
      <c r="L190" s="10"/>
    </row>
    <row r="191" ht="13.5" customHeight="1">
      <c r="A191" s="10"/>
      <c r="B191" s="10"/>
      <c r="C191" s="10"/>
      <c r="D191" s="10"/>
      <c r="E191" s="10"/>
      <c r="F191" s="10"/>
      <c r="G191" s="11"/>
      <c r="H191" s="13"/>
      <c r="I191" s="10"/>
      <c r="J191" s="10"/>
      <c r="K191" s="11"/>
      <c r="L191" s="10"/>
    </row>
    <row r="192" ht="13.5" customHeight="1">
      <c r="A192" s="10"/>
      <c r="B192" s="10"/>
      <c r="C192" s="10"/>
      <c r="D192" s="10"/>
      <c r="E192" s="10"/>
      <c r="F192" s="10"/>
      <c r="G192" s="11"/>
      <c r="H192" s="13"/>
      <c r="I192" s="10"/>
      <c r="J192" s="10"/>
      <c r="K192" s="11"/>
      <c r="L192" s="10"/>
    </row>
    <row r="193" ht="13.5" customHeight="1">
      <c r="A193" s="10"/>
      <c r="B193" s="10"/>
      <c r="C193" s="10"/>
      <c r="D193" s="10"/>
      <c r="E193" s="10"/>
      <c r="F193" s="10"/>
      <c r="G193" s="11"/>
      <c r="H193" s="13"/>
      <c r="I193" s="10"/>
      <c r="J193" s="10"/>
      <c r="K193" s="11"/>
      <c r="L193" s="10"/>
    </row>
    <row r="194" ht="13.5" customHeight="1">
      <c r="A194" s="10"/>
      <c r="B194" s="10"/>
      <c r="C194" s="10"/>
      <c r="D194" s="10"/>
      <c r="E194" s="10"/>
      <c r="F194" s="10"/>
      <c r="G194" s="11"/>
      <c r="H194" s="13"/>
      <c r="I194" s="10"/>
      <c r="J194" s="10"/>
      <c r="K194" s="11"/>
      <c r="L194" s="10"/>
    </row>
    <row r="195" ht="13.5" customHeight="1">
      <c r="A195" s="10"/>
      <c r="B195" s="10"/>
      <c r="C195" s="10"/>
      <c r="D195" s="10"/>
      <c r="E195" s="10"/>
      <c r="F195" s="10"/>
      <c r="G195" s="11"/>
      <c r="H195" s="13"/>
      <c r="I195" s="10"/>
      <c r="J195" s="10"/>
      <c r="K195" s="11"/>
      <c r="L195" s="10"/>
    </row>
    <row r="196" ht="13.5" customHeight="1">
      <c r="A196" s="10"/>
      <c r="B196" s="10"/>
      <c r="C196" s="10"/>
      <c r="D196" s="10"/>
      <c r="E196" s="10"/>
      <c r="F196" s="10"/>
      <c r="G196" s="11"/>
      <c r="H196" s="13"/>
      <c r="I196" s="10"/>
      <c r="J196" s="10"/>
      <c r="K196" s="11"/>
      <c r="L196" s="10"/>
    </row>
    <row r="197" ht="13.5" customHeight="1">
      <c r="A197" s="10"/>
      <c r="B197" s="10"/>
      <c r="C197" s="10"/>
      <c r="D197" s="10"/>
      <c r="E197" s="10"/>
      <c r="F197" s="10"/>
      <c r="G197" s="11"/>
      <c r="H197" s="13"/>
      <c r="I197" s="10"/>
      <c r="J197" s="10"/>
      <c r="K197" s="11"/>
      <c r="L197" s="10"/>
    </row>
    <row r="198" ht="13.5" customHeight="1">
      <c r="A198" s="10"/>
      <c r="B198" s="10"/>
      <c r="C198" s="10"/>
      <c r="D198" s="10"/>
      <c r="E198" s="10"/>
      <c r="F198" s="10"/>
      <c r="G198" s="11"/>
      <c r="H198" s="13"/>
      <c r="I198" s="10"/>
      <c r="J198" s="10"/>
      <c r="K198" s="11"/>
      <c r="L198" s="10"/>
    </row>
    <row r="199" ht="13.5" customHeight="1">
      <c r="A199" s="10"/>
      <c r="B199" s="10"/>
      <c r="C199" s="10"/>
      <c r="D199" s="10"/>
      <c r="E199" s="10"/>
      <c r="F199" s="10"/>
      <c r="G199" s="11"/>
      <c r="H199" s="13"/>
      <c r="I199" s="10"/>
      <c r="J199" s="10"/>
      <c r="K199" s="11"/>
      <c r="L199" s="10"/>
    </row>
    <row r="200" ht="13.5" customHeight="1">
      <c r="A200" s="10"/>
      <c r="B200" s="10"/>
      <c r="C200" s="10"/>
      <c r="D200" s="10"/>
      <c r="E200" s="10"/>
      <c r="F200" s="10"/>
      <c r="G200" s="11"/>
      <c r="H200" s="13"/>
      <c r="I200" s="10"/>
      <c r="J200" s="10"/>
      <c r="K200" s="11"/>
      <c r="L200" s="10"/>
    </row>
    <row r="201" ht="13.5" customHeight="1">
      <c r="A201" s="10"/>
      <c r="B201" s="10"/>
      <c r="C201" s="10"/>
      <c r="D201" s="10"/>
      <c r="E201" s="10"/>
      <c r="F201" s="10"/>
      <c r="G201" s="11"/>
      <c r="H201" s="13"/>
      <c r="I201" s="10"/>
      <c r="J201" s="10"/>
      <c r="K201" s="11"/>
      <c r="L201" s="10"/>
    </row>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L1"/>
  </mergeCells>
  <conditionalFormatting sqref="J3:J201">
    <cfRule type="expression" dxfId="5" priority="1">
      <formula>J3="Yes"</formula>
    </cfRule>
  </conditionalFormatting>
  <conditionalFormatting sqref="J3:J201">
    <cfRule type="expression" dxfId="7" priority="2">
      <formula>J3="No"</formula>
    </cfRule>
  </conditionalFormatting>
  <dataValidations>
    <dataValidation type="list" allowBlank="1" sqref="C3:C201">
      <formula1>"Unit 1 / Phase 1,Phase 2,Phase 3,Final"</formula1>
    </dataValidation>
    <dataValidation type="list" allowBlank="1" sqref="J3:J201">
      <formula1>"Yes,No"</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19.0"/>
    <col customWidth="1" min="3" max="3" width="18.0"/>
    <col customWidth="1" min="4" max="6" width="28.0"/>
    <col customWidth="1" min="7" max="7" width="42.0"/>
    <col customWidth="1" min="8" max="8" width="32.0"/>
    <col customWidth="1" min="9" max="9" width="34.0"/>
    <col customWidth="1" min="10" max="26" width="8.63"/>
  </cols>
  <sheetData>
    <row r="1" ht="30.0" customHeight="1">
      <c r="A1" s="1" t="s">
        <v>118</v>
      </c>
      <c r="B1" s="2"/>
      <c r="C1" s="2"/>
      <c r="D1" s="2"/>
      <c r="E1" s="2"/>
      <c r="F1" s="2"/>
      <c r="G1" s="2"/>
      <c r="H1" s="2"/>
      <c r="I1" s="3"/>
    </row>
    <row r="2" ht="13.5" customHeight="1">
      <c r="A2" s="9" t="s">
        <v>121</v>
      </c>
      <c r="B2" s="9" t="s">
        <v>44</v>
      </c>
      <c r="C2" s="9" t="s">
        <v>125</v>
      </c>
      <c r="D2" s="9" t="s">
        <v>3</v>
      </c>
      <c r="E2" s="9" t="s">
        <v>129</v>
      </c>
      <c r="F2" s="9" t="s">
        <v>131</v>
      </c>
      <c r="G2" s="9" t="s">
        <v>132</v>
      </c>
      <c r="H2" s="9" t="s">
        <v>135</v>
      </c>
      <c r="I2" s="9" t="s">
        <v>57</v>
      </c>
    </row>
    <row r="3" ht="13.5" customHeight="1">
      <c r="A3" s="19">
        <v>46258.0</v>
      </c>
      <c r="B3" s="10" t="s">
        <v>34</v>
      </c>
      <c r="C3" s="10" t="s">
        <v>137</v>
      </c>
      <c r="D3" s="10" t="s">
        <v>138</v>
      </c>
      <c r="E3" s="10" t="s">
        <v>140</v>
      </c>
      <c r="F3" s="10" t="s">
        <v>141</v>
      </c>
      <c r="G3" s="10" t="s">
        <v>142</v>
      </c>
      <c r="H3" s="10"/>
      <c r="I3" s="20" t="s">
        <v>143</v>
      </c>
    </row>
    <row r="4" ht="13.5" customHeight="1">
      <c r="A4" s="11">
        <v>46261.0</v>
      </c>
      <c r="B4" s="10" t="s">
        <v>34</v>
      </c>
      <c r="C4" s="10" t="s">
        <v>148</v>
      </c>
      <c r="D4" s="10" t="s">
        <v>150</v>
      </c>
      <c r="E4" s="10" t="s">
        <v>67</v>
      </c>
      <c r="F4" s="10" t="s">
        <v>141</v>
      </c>
      <c r="G4" s="10" t="s">
        <v>152</v>
      </c>
      <c r="H4" s="10"/>
      <c r="I4" s="20" t="s">
        <v>156</v>
      </c>
    </row>
    <row r="5" ht="13.5" customHeight="1">
      <c r="A5" s="11"/>
      <c r="B5" s="10"/>
      <c r="C5" s="10"/>
      <c r="D5" s="10"/>
      <c r="E5" s="10"/>
      <c r="F5" s="10"/>
      <c r="G5" s="10"/>
      <c r="H5" s="10"/>
      <c r="I5" s="10"/>
    </row>
    <row r="6" ht="13.5" customHeight="1">
      <c r="A6" s="11"/>
      <c r="B6" s="10"/>
      <c r="C6" s="10"/>
      <c r="D6" s="10"/>
      <c r="E6" s="10"/>
      <c r="F6" s="10"/>
      <c r="G6" s="10"/>
      <c r="H6" s="10"/>
      <c r="I6" s="10"/>
    </row>
    <row r="7" ht="13.5" customHeight="1">
      <c r="A7" s="11"/>
      <c r="B7" s="10"/>
      <c r="C7" s="10"/>
      <c r="D7" s="10"/>
      <c r="E7" s="10"/>
      <c r="F7" s="10"/>
      <c r="G7" s="10"/>
      <c r="H7" s="10"/>
      <c r="I7" s="10"/>
    </row>
    <row r="8" ht="13.5" customHeight="1">
      <c r="A8" s="11"/>
      <c r="B8" s="10"/>
      <c r="C8" s="10"/>
      <c r="D8" s="10"/>
      <c r="E8" s="10"/>
      <c r="F8" s="10"/>
      <c r="G8" s="10"/>
      <c r="H8" s="10"/>
      <c r="I8" s="10"/>
    </row>
    <row r="9" ht="13.5" customHeight="1">
      <c r="A9" s="11"/>
      <c r="B9" s="10"/>
      <c r="C9" s="10"/>
      <c r="D9" s="10"/>
      <c r="E9" s="10"/>
      <c r="F9" s="10"/>
      <c r="G9" s="10"/>
      <c r="H9" s="10"/>
      <c r="I9" s="10"/>
    </row>
    <row r="10" ht="13.5" customHeight="1">
      <c r="A10" s="11"/>
      <c r="B10" s="10"/>
      <c r="C10" s="10"/>
      <c r="D10" s="10"/>
      <c r="E10" s="10"/>
      <c r="F10" s="10"/>
      <c r="G10" s="10"/>
      <c r="H10" s="10"/>
      <c r="I10" s="10"/>
    </row>
    <row r="11" ht="13.5" customHeight="1">
      <c r="A11" s="11"/>
      <c r="B11" s="10"/>
      <c r="C11" s="10"/>
      <c r="D11" s="10"/>
      <c r="E11" s="10"/>
      <c r="F11" s="10"/>
      <c r="G11" s="10"/>
      <c r="H11" s="10"/>
      <c r="I11" s="10"/>
    </row>
    <row r="12" ht="13.5" customHeight="1">
      <c r="A12" s="11"/>
      <c r="B12" s="10"/>
      <c r="C12" s="10"/>
      <c r="D12" s="10"/>
      <c r="E12" s="10"/>
      <c r="F12" s="10"/>
      <c r="G12" s="10"/>
      <c r="H12" s="10"/>
      <c r="I12" s="10"/>
    </row>
    <row r="13" ht="13.5" customHeight="1">
      <c r="A13" s="11"/>
      <c r="B13" s="10"/>
      <c r="C13" s="10"/>
      <c r="D13" s="10"/>
      <c r="E13" s="10"/>
      <c r="F13" s="10"/>
      <c r="G13" s="10"/>
      <c r="H13" s="10"/>
      <c r="I13" s="10"/>
    </row>
    <row r="14" ht="13.5" customHeight="1">
      <c r="A14" s="11"/>
      <c r="B14" s="10"/>
      <c r="C14" s="10"/>
      <c r="D14" s="10"/>
      <c r="E14" s="10"/>
      <c r="F14" s="10"/>
      <c r="G14" s="10"/>
      <c r="H14" s="10"/>
      <c r="I14" s="10"/>
    </row>
    <row r="15" ht="13.5" customHeight="1">
      <c r="A15" s="11"/>
      <c r="B15" s="10"/>
      <c r="C15" s="10"/>
      <c r="D15" s="10"/>
      <c r="E15" s="10"/>
      <c r="F15" s="10"/>
      <c r="G15" s="10"/>
      <c r="H15" s="10"/>
      <c r="I15" s="10"/>
    </row>
    <row r="16" ht="13.5" customHeight="1">
      <c r="A16" s="11"/>
      <c r="B16" s="10"/>
      <c r="C16" s="10"/>
      <c r="D16" s="10"/>
      <c r="E16" s="10"/>
      <c r="F16" s="10"/>
      <c r="G16" s="10"/>
      <c r="H16" s="10"/>
      <c r="I16" s="10"/>
    </row>
    <row r="17" ht="13.5" customHeight="1">
      <c r="A17" s="11"/>
      <c r="B17" s="10"/>
      <c r="C17" s="10"/>
      <c r="D17" s="10"/>
      <c r="E17" s="10"/>
      <c r="F17" s="10"/>
      <c r="G17" s="10"/>
      <c r="H17" s="10"/>
      <c r="I17" s="10"/>
    </row>
    <row r="18" ht="13.5" customHeight="1">
      <c r="A18" s="11"/>
      <c r="B18" s="10"/>
      <c r="C18" s="10"/>
      <c r="D18" s="10"/>
      <c r="E18" s="10"/>
      <c r="F18" s="10"/>
      <c r="G18" s="10"/>
      <c r="H18" s="10"/>
      <c r="I18" s="10"/>
    </row>
    <row r="19" ht="13.5" customHeight="1">
      <c r="A19" s="11"/>
      <c r="B19" s="10"/>
      <c r="C19" s="10"/>
      <c r="D19" s="10"/>
      <c r="E19" s="10"/>
      <c r="F19" s="10"/>
      <c r="G19" s="10"/>
      <c r="H19" s="10"/>
      <c r="I19" s="10"/>
    </row>
    <row r="20" ht="13.5" customHeight="1">
      <c r="A20" s="11"/>
      <c r="B20" s="10"/>
      <c r="C20" s="10"/>
      <c r="D20" s="10"/>
      <c r="E20" s="10"/>
      <c r="F20" s="10"/>
      <c r="G20" s="10"/>
      <c r="H20" s="10"/>
      <c r="I20" s="10"/>
    </row>
    <row r="21" ht="13.5" customHeight="1">
      <c r="A21" s="11"/>
      <c r="B21" s="10"/>
      <c r="C21" s="10"/>
      <c r="D21" s="10"/>
      <c r="E21" s="10"/>
      <c r="F21" s="10"/>
      <c r="G21" s="10"/>
      <c r="H21" s="10"/>
      <c r="I21" s="10"/>
    </row>
    <row r="22" ht="13.5" customHeight="1">
      <c r="A22" s="11"/>
      <c r="B22" s="10"/>
      <c r="C22" s="10"/>
      <c r="D22" s="10"/>
      <c r="E22" s="10"/>
      <c r="F22" s="10"/>
      <c r="G22" s="10"/>
      <c r="H22" s="10"/>
      <c r="I22" s="10"/>
    </row>
    <row r="23" ht="13.5" customHeight="1">
      <c r="A23" s="11"/>
      <c r="B23" s="10"/>
      <c r="C23" s="10"/>
      <c r="D23" s="10"/>
      <c r="E23" s="10"/>
      <c r="F23" s="10"/>
      <c r="G23" s="10"/>
      <c r="H23" s="10"/>
      <c r="I23" s="10"/>
    </row>
    <row r="24" ht="13.5" customHeight="1">
      <c r="A24" s="11"/>
      <c r="B24" s="10"/>
      <c r="C24" s="10"/>
      <c r="D24" s="10"/>
      <c r="E24" s="10"/>
      <c r="F24" s="10"/>
      <c r="G24" s="10"/>
      <c r="H24" s="10"/>
      <c r="I24" s="10"/>
    </row>
    <row r="25" ht="13.5" customHeight="1">
      <c r="A25" s="11"/>
      <c r="B25" s="10"/>
      <c r="C25" s="10"/>
      <c r="D25" s="10"/>
      <c r="E25" s="10"/>
      <c r="F25" s="10"/>
      <c r="G25" s="10"/>
      <c r="H25" s="10"/>
      <c r="I25" s="10"/>
    </row>
    <row r="26" ht="13.5" customHeight="1">
      <c r="A26" s="11"/>
      <c r="B26" s="10"/>
      <c r="C26" s="10"/>
      <c r="D26" s="10"/>
      <c r="E26" s="10"/>
      <c r="F26" s="10"/>
      <c r="G26" s="10"/>
      <c r="H26" s="10"/>
      <c r="I26" s="10"/>
    </row>
    <row r="27" ht="13.5" customHeight="1">
      <c r="A27" s="11"/>
      <c r="B27" s="10"/>
      <c r="C27" s="10"/>
      <c r="D27" s="10"/>
      <c r="E27" s="10"/>
      <c r="F27" s="10"/>
      <c r="G27" s="10"/>
      <c r="H27" s="10"/>
      <c r="I27" s="10"/>
    </row>
    <row r="28" ht="13.5" customHeight="1">
      <c r="A28" s="11"/>
      <c r="B28" s="10"/>
      <c r="C28" s="10"/>
      <c r="D28" s="10"/>
      <c r="E28" s="10"/>
      <c r="F28" s="10"/>
      <c r="G28" s="10"/>
      <c r="H28" s="10"/>
      <c r="I28" s="10"/>
    </row>
    <row r="29" ht="13.5" customHeight="1">
      <c r="A29" s="11"/>
      <c r="B29" s="10"/>
      <c r="C29" s="10"/>
      <c r="D29" s="10"/>
      <c r="E29" s="10"/>
      <c r="F29" s="10"/>
      <c r="G29" s="10"/>
      <c r="H29" s="10"/>
      <c r="I29" s="10"/>
    </row>
    <row r="30" ht="13.5" customHeight="1">
      <c r="A30" s="11"/>
      <c r="B30" s="10"/>
      <c r="C30" s="10"/>
      <c r="D30" s="10"/>
      <c r="E30" s="10"/>
      <c r="F30" s="10"/>
      <c r="G30" s="10"/>
      <c r="H30" s="10"/>
      <c r="I30" s="10"/>
    </row>
    <row r="31" ht="13.5" customHeight="1">
      <c r="A31" s="11"/>
      <c r="B31" s="10"/>
      <c r="C31" s="10"/>
      <c r="D31" s="10"/>
      <c r="E31" s="10"/>
      <c r="F31" s="10"/>
      <c r="G31" s="10"/>
      <c r="H31" s="10"/>
      <c r="I31" s="10"/>
    </row>
    <row r="32" ht="13.5" customHeight="1">
      <c r="A32" s="11"/>
      <c r="B32" s="10"/>
      <c r="C32" s="10"/>
      <c r="D32" s="10"/>
      <c r="E32" s="10"/>
      <c r="F32" s="10"/>
      <c r="G32" s="10"/>
      <c r="H32" s="10"/>
      <c r="I32" s="10"/>
    </row>
    <row r="33" ht="13.5" customHeight="1">
      <c r="A33" s="11"/>
      <c r="B33" s="10"/>
      <c r="C33" s="10"/>
      <c r="D33" s="10"/>
      <c r="E33" s="10"/>
      <c r="F33" s="10"/>
      <c r="G33" s="10"/>
      <c r="H33" s="10"/>
      <c r="I33" s="10"/>
    </row>
    <row r="34" ht="13.5" customHeight="1">
      <c r="A34" s="11"/>
      <c r="B34" s="10"/>
      <c r="C34" s="10"/>
      <c r="D34" s="10"/>
      <c r="E34" s="10"/>
      <c r="F34" s="10"/>
      <c r="G34" s="10"/>
      <c r="H34" s="10"/>
      <c r="I34" s="10"/>
    </row>
    <row r="35" ht="13.5" customHeight="1">
      <c r="A35" s="11"/>
      <c r="B35" s="10"/>
      <c r="C35" s="10"/>
      <c r="D35" s="10"/>
      <c r="E35" s="10"/>
      <c r="F35" s="10"/>
      <c r="G35" s="10"/>
      <c r="H35" s="10"/>
      <c r="I35" s="10"/>
    </row>
    <row r="36" ht="13.5" customHeight="1">
      <c r="A36" s="11"/>
      <c r="B36" s="10"/>
      <c r="C36" s="10"/>
      <c r="D36" s="10"/>
      <c r="E36" s="10"/>
      <c r="F36" s="10"/>
      <c r="G36" s="10"/>
      <c r="H36" s="10"/>
      <c r="I36" s="10"/>
    </row>
    <row r="37" ht="13.5" customHeight="1">
      <c r="A37" s="11"/>
      <c r="B37" s="10"/>
      <c r="C37" s="10"/>
      <c r="D37" s="10"/>
      <c r="E37" s="10"/>
      <c r="F37" s="10"/>
      <c r="G37" s="10"/>
      <c r="H37" s="10"/>
      <c r="I37" s="10"/>
    </row>
    <row r="38" ht="13.5" customHeight="1">
      <c r="A38" s="11"/>
      <c r="B38" s="10"/>
      <c r="C38" s="10"/>
      <c r="D38" s="10"/>
      <c r="E38" s="10"/>
      <c r="F38" s="10"/>
      <c r="G38" s="10"/>
      <c r="H38" s="10"/>
      <c r="I38" s="10"/>
    </row>
    <row r="39" ht="13.5" customHeight="1">
      <c r="A39" s="11"/>
      <c r="B39" s="10"/>
      <c r="C39" s="10"/>
      <c r="D39" s="10"/>
      <c r="E39" s="10"/>
      <c r="F39" s="10"/>
      <c r="G39" s="10"/>
      <c r="H39" s="10"/>
      <c r="I39" s="10"/>
    </row>
    <row r="40" ht="13.5" customHeight="1">
      <c r="A40" s="11"/>
      <c r="B40" s="10"/>
      <c r="C40" s="10"/>
      <c r="D40" s="10"/>
      <c r="E40" s="10"/>
      <c r="F40" s="10"/>
      <c r="G40" s="10"/>
      <c r="H40" s="10"/>
      <c r="I40" s="10"/>
    </row>
    <row r="41" ht="13.5" customHeight="1">
      <c r="A41" s="11"/>
      <c r="B41" s="10"/>
      <c r="C41" s="10"/>
      <c r="D41" s="10"/>
      <c r="E41" s="10"/>
      <c r="F41" s="10"/>
      <c r="G41" s="10"/>
      <c r="H41" s="10"/>
      <c r="I41" s="10"/>
    </row>
    <row r="42" ht="13.5" customHeight="1">
      <c r="A42" s="11"/>
      <c r="B42" s="10"/>
      <c r="C42" s="10"/>
      <c r="D42" s="10"/>
      <c r="E42" s="10"/>
      <c r="F42" s="10"/>
      <c r="G42" s="10"/>
      <c r="H42" s="10"/>
      <c r="I42" s="10"/>
    </row>
    <row r="43" ht="13.5" customHeight="1">
      <c r="A43" s="11"/>
      <c r="B43" s="10"/>
      <c r="C43" s="10"/>
      <c r="D43" s="10"/>
      <c r="E43" s="10"/>
      <c r="F43" s="10"/>
      <c r="G43" s="10"/>
      <c r="H43" s="10"/>
      <c r="I43" s="10"/>
    </row>
    <row r="44" ht="13.5" customHeight="1">
      <c r="A44" s="11"/>
      <c r="B44" s="10"/>
      <c r="C44" s="10"/>
      <c r="D44" s="10"/>
      <c r="E44" s="10"/>
      <c r="F44" s="10"/>
      <c r="G44" s="10"/>
      <c r="H44" s="10"/>
      <c r="I44" s="10"/>
    </row>
    <row r="45" ht="13.5" customHeight="1">
      <c r="A45" s="11"/>
      <c r="B45" s="10"/>
      <c r="C45" s="10"/>
      <c r="D45" s="10"/>
      <c r="E45" s="10"/>
      <c r="F45" s="10"/>
      <c r="G45" s="10"/>
      <c r="H45" s="10"/>
      <c r="I45" s="10"/>
    </row>
    <row r="46" ht="13.5" customHeight="1">
      <c r="A46" s="11"/>
      <c r="B46" s="10"/>
      <c r="C46" s="10"/>
      <c r="D46" s="10"/>
      <c r="E46" s="10"/>
      <c r="F46" s="10"/>
      <c r="G46" s="10"/>
      <c r="H46" s="10"/>
      <c r="I46" s="10"/>
    </row>
    <row r="47" ht="13.5" customHeight="1">
      <c r="A47" s="11"/>
      <c r="B47" s="10"/>
      <c r="C47" s="10"/>
      <c r="D47" s="10"/>
      <c r="E47" s="10"/>
      <c r="F47" s="10"/>
      <c r="G47" s="10"/>
      <c r="H47" s="10"/>
      <c r="I47" s="10"/>
    </row>
    <row r="48" ht="13.5" customHeight="1">
      <c r="A48" s="11"/>
      <c r="B48" s="10"/>
      <c r="C48" s="10"/>
      <c r="D48" s="10"/>
      <c r="E48" s="10"/>
      <c r="F48" s="10"/>
      <c r="G48" s="10"/>
      <c r="H48" s="10"/>
      <c r="I48" s="10"/>
    </row>
    <row r="49" ht="13.5" customHeight="1">
      <c r="A49" s="11"/>
      <c r="B49" s="10"/>
      <c r="C49" s="10"/>
      <c r="D49" s="10"/>
      <c r="E49" s="10"/>
      <c r="F49" s="10"/>
      <c r="G49" s="10"/>
      <c r="H49" s="10"/>
      <c r="I49" s="10"/>
    </row>
    <row r="50" ht="13.5" customHeight="1">
      <c r="A50" s="11"/>
      <c r="B50" s="10"/>
      <c r="C50" s="10"/>
      <c r="D50" s="10"/>
      <c r="E50" s="10"/>
      <c r="F50" s="10"/>
      <c r="G50" s="10"/>
      <c r="H50" s="10"/>
      <c r="I50" s="10"/>
    </row>
    <row r="51" ht="13.5" customHeight="1">
      <c r="A51" s="11"/>
      <c r="B51" s="10"/>
      <c r="C51" s="10"/>
      <c r="D51" s="10"/>
      <c r="E51" s="10"/>
      <c r="F51" s="10"/>
      <c r="G51" s="10"/>
      <c r="H51" s="10"/>
      <c r="I51" s="10"/>
    </row>
    <row r="52" ht="13.5" customHeight="1">
      <c r="A52" s="11"/>
      <c r="B52" s="10"/>
      <c r="C52" s="10"/>
      <c r="D52" s="10"/>
      <c r="E52" s="10"/>
      <c r="F52" s="10"/>
      <c r="G52" s="10"/>
      <c r="H52" s="10"/>
      <c r="I52" s="10"/>
    </row>
    <row r="53" ht="13.5" customHeight="1">
      <c r="A53" s="11"/>
      <c r="B53" s="10"/>
      <c r="C53" s="10"/>
      <c r="D53" s="10"/>
      <c r="E53" s="10"/>
      <c r="F53" s="10"/>
      <c r="G53" s="10"/>
      <c r="H53" s="10"/>
      <c r="I53" s="10"/>
    </row>
    <row r="54" ht="13.5" customHeight="1">
      <c r="A54" s="11"/>
      <c r="B54" s="10"/>
      <c r="C54" s="10"/>
      <c r="D54" s="10"/>
      <c r="E54" s="10"/>
      <c r="F54" s="10"/>
      <c r="G54" s="10"/>
      <c r="H54" s="10"/>
      <c r="I54" s="10"/>
    </row>
    <row r="55" ht="13.5" customHeight="1">
      <c r="A55" s="11"/>
      <c r="B55" s="10"/>
      <c r="C55" s="10"/>
      <c r="D55" s="10"/>
      <c r="E55" s="10"/>
      <c r="F55" s="10"/>
      <c r="G55" s="10"/>
      <c r="H55" s="10"/>
      <c r="I55" s="10"/>
    </row>
    <row r="56" ht="13.5" customHeight="1">
      <c r="A56" s="11"/>
      <c r="B56" s="10"/>
      <c r="C56" s="10"/>
      <c r="D56" s="10"/>
      <c r="E56" s="10"/>
      <c r="F56" s="10"/>
      <c r="G56" s="10"/>
      <c r="H56" s="10"/>
      <c r="I56" s="10"/>
    </row>
    <row r="57" ht="13.5" customHeight="1">
      <c r="A57" s="11"/>
      <c r="B57" s="10"/>
      <c r="C57" s="10"/>
      <c r="D57" s="10"/>
      <c r="E57" s="10"/>
      <c r="F57" s="10"/>
      <c r="G57" s="10"/>
      <c r="H57" s="10"/>
      <c r="I57" s="10"/>
    </row>
    <row r="58" ht="13.5" customHeight="1">
      <c r="A58" s="11"/>
      <c r="B58" s="10"/>
      <c r="C58" s="10"/>
      <c r="D58" s="10"/>
      <c r="E58" s="10"/>
      <c r="F58" s="10"/>
      <c r="G58" s="10"/>
      <c r="H58" s="10"/>
      <c r="I58" s="10"/>
    </row>
    <row r="59" ht="13.5" customHeight="1">
      <c r="A59" s="11"/>
      <c r="B59" s="10"/>
      <c r="C59" s="10"/>
      <c r="D59" s="10"/>
      <c r="E59" s="10"/>
      <c r="F59" s="10"/>
      <c r="G59" s="10"/>
      <c r="H59" s="10"/>
      <c r="I59" s="10"/>
    </row>
    <row r="60" ht="13.5" customHeight="1">
      <c r="A60" s="11"/>
      <c r="B60" s="10"/>
      <c r="C60" s="10"/>
      <c r="D60" s="10"/>
      <c r="E60" s="10"/>
      <c r="F60" s="10"/>
      <c r="G60" s="10"/>
      <c r="H60" s="10"/>
      <c r="I60" s="10"/>
    </row>
    <row r="61" ht="13.5" customHeight="1">
      <c r="A61" s="11"/>
      <c r="B61" s="10"/>
      <c r="C61" s="10"/>
      <c r="D61" s="10"/>
      <c r="E61" s="10"/>
      <c r="F61" s="10"/>
      <c r="G61" s="10"/>
      <c r="H61" s="10"/>
      <c r="I61" s="10"/>
    </row>
    <row r="62" ht="13.5" customHeight="1">
      <c r="A62" s="11"/>
      <c r="B62" s="10"/>
      <c r="C62" s="10"/>
      <c r="D62" s="10"/>
      <c r="E62" s="10"/>
      <c r="F62" s="10"/>
      <c r="G62" s="10"/>
      <c r="H62" s="10"/>
      <c r="I62" s="10"/>
    </row>
    <row r="63" ht="13.5" customHeight="1">
      <c r="A63" s="11"/>
      <c r="B63" s="10"/>
      <c r="C63" s="10"/>
      <c r="D63" s="10"/>
      <c r="E63" s="10"/>
      <c r="F63" s="10"/>
      <c r="G63" s="10"/>
      <c r="H63" s="10"/>
      <c r="I63" s="10"/>
    </row>
    <row r="64" ht="13.5" customHeight="1">
      <c r="A64" s="11"/>
      <c r="B64" s="10"/>
      <c r="C64" s="10"/>
      <c r="D64" s="10"/>
      <c r="E64" s="10"/>
      <c r="F64" s="10"/>
      <c r="G64" s="10"/>
      <c r="H64" s="10"/>
      <c r="I64" s="10"/>
    </row>
    <row r="65" ht="13.5" customHeight="1">
      <c r="A65" s="11"/>
      <c r="B65" s="10"/>
      <c r="C65" s="10"/>
      <c r="D65" s="10"/>
      <c r="E65" s="10"/>
      <c r="F65" s="10"/>
      <c r="G65" s="10"/>
      <c r="H65" s="10"/>
      <c r="I65" s="10"/>
    </row>
    <row r="66" ht="13.5" customHeight="1">
      <c r="A66" s="11"/>
      <c r="B66" s="10"/>
      <c r="C66" s="10"/>
      <c r="D66" s="10"/>
      <c r="E66" s="10"/>
      <c r="F66" s="10"/>
      <c r="G66" s="10"/>
      <c r="H66" s="10"/>
      <c r="I66" s="10"/>
    </row>
    <row r="67" ht="13.5" customHeight="1">
      <c r="A67" s="11"/>
      <c r="B67" s="10"/>
      <c r="C67" s="10"/>
      <c r="D67" s="10"/>
      <c r="E67" s="10"/>
      <c r="F67" s="10"/>
      <c r="G67" s="10"/>
      <c r="H67" s="10"/>
      <c r="I67" s="10"/>
    </row>
    <row r="68" ht="13.5" customHeight="1">
      <c r="A68" s="11"/>
      <c r="B68" s="10"/>
      <c r="C68" s="10"/>
      <c r="D68" s="10"/>
      <c r="E68" s="10"/>
      <c r="F68" s="10"/>
      <c r="G68" s="10"/>
      <c r="H68" s="10"/>
      <c r="I68" s="10"/>
    </row>
    <row r="69" ht="13.5" customHeight="1">
      <c r="A69" s="11"/>
      <c r="B69" s="10"/>
      <c r="C69" s="10"/>
      <c r="D69" s="10"/>
      <c r="E69" s="10"/>
      <c r="F69" s="10"/>
      <c r="G69" s="10"/>
      <c r="H69" s="10"/>
      <c r="I69" s="10"/>
    </row>
    <row r="70" ht="13.5" customHeight="1">
      <c r="A70" s="11"/>
      <c r="B70" s="10"/>
      <c r="C70" s="10"/>
      <c r="D70" s="10"/>
      <c r="E70" s="10"/>
      <c r="F70" s="10"/>
      <c r="G70" s="10"/>
      <c r="H70" s="10"/>
      <c r="I70" s="10"/>
    </row>
    <row r="71" ht="13.5" customHeight="1">
      <c r="A71" s="11"/>
      <c r="B71" s="10"/>
      <c r="C71" s="10"/>
      <c r="D71" s="10"/>
      <c r="E71" s="10"/>
      <c r="F71" s="10"/>
      <c r="G71" s="10"/>
      <c r="H71" s="10"/>
      <c r="I71" s="10"/>
    </row>
    <row r="72" ht="13.5" customHeight="1">
      <c r="A72" s="11"/>
      <c r="B72" s="10"/>
      <c r="C72" s="10"/>
      <c r="D72" s="10"/>
      <c r="E72" s="10"/>
      <c r="F72" s="10"/>
      <c r="G72" s="10"/>
      <c r="H72" s="10"/>
      <c r="I72" s="10"/>
    </row>
    <row r="73" ht="13.5" customHeight="1">
      <c r="A73" s="11"/>
      <c r="B73" s="10"/>
      <c r="C73" s="10"/>
      <c r="D73" s="10"/>
      <c r="E73" s="10"/>
      <c r="F73" s="10"/>
      <c r="G73" s="10"/>
      <c r="H73" s="10"/>
      <c r="I73" s="10"/>
    </row>
    <row r="74" ht="13.5" customHeight="1">
      <c r="A74" s="11"/>
      <c r="B74" s="10"/>
      <c r="C74" s="10"/>
      <c r="D74" s="10"/>
      <c r="E74" s="10"/>
      <c r="F74" s="10"/>
      <c r="G74" s="10"/>
      <c r="H74" s="10"/>
      <c r="I74" s="10"/>
    </row>
    <row r="75" ht="13.5" customHeight="1">
      <c r="A75" s="11"/>
      <c r="B75" s="10"/>
      <c r="C75" s="10"/>
      <c r="D75" s="10"/>
      <c r="E75" s="10"/>
      <c r="F75" s="10"/>
      <c r="G75" s="10"/>
      <c r="H75" s="10"/>
      <c r="I75" s="10"/>
    </row>
    <row r="76" ht="13.5" customHeight="1">
      <c r="A76" s="11"/>
      <c r="B76" s="10"/>
      <c r="C76" s="10"/>
      <c r="D76" s="10"/>
      <c r="E76" s="10"/>
      <c r="F76" s="10"/>
      <c r="G76" s="10"/>
      <c r="H76" s="10"/>
      <c r="I76" s="10"/>
    </row>
    <row r="77" ht="13.5" customHeight="1">
      <c r="A77" s="11"/>
      <c r="B77" s="10"/>
      <c r="C77" s="10"/>
      <c r="D77" s="10"/>
      <c r="E77" s="10"/>
      <c r="F77" s="10"/>
      <c r="G77" s="10"/>
      <c r="H77" s="10"/>
      <c r="I77" s="10"/>
    </row>
    <row r="78" ht="13.5" customHeight="1">
      <c r="A78" s="11"/>
      <c r="B78" s="10"/>
      <c r="C78" s="10"/>
      <c r="D78" s="10"/>
      <c r="E78" s="10"/>
      <c r="F78" s="10"/>
      <c r="G78" s="10"/>
      <c r="H78" s="10"/>
      <c r="I78" s="10"/>
    </row>
    <row r="79" ht="13.5" customHeight="1">
      <c r="A79" s="11"/>
      <c r="B79" s="10"/>
      <c r="C79" s="10"/>
      <c r="D79" s="10"/>
      <c r="E79" s="10"/>
      <c r="F79" s="10"/>
      <c r="G79" s="10"/>
      <c r="H79" s="10"/>
      <c r="I79" s="10"/>
    </row>
    <row r="80" ht="13.5" customHeight="1">
      <c r="A80" s="11"/>
      <c r="B80" s="10"/>
      <c r="C80" s="10"/>
      <c r="D80" s="10"/>
      <c r="E80" s="10"/>
      <c r="F80" s="10"/>
      <c r="G80" s="10"/>
      <c r="H80" s="10"/>
      <c r="I80" s="10"/>
    </row>
    <row r="81" ht="13.5" customHeight="1">
      <c r="A81" s="11"/>
      <c r="B81" s="10"/>
      <c r="C81" s="10"/>
      <c r="D81" s="10"/>
      <c r="E81" s="10"/>
      <c r="F81" s="10"/>
      <c r="G81" s="10"/>
      <c r="H81" s="10"/>
      <c r="I81" s="10"/>
    </row>
    <row r="82" ht="13.5" customHeight="1">
      <c r="A82" s="11"/>
      <c r="B82" s="10"/>
      <c r="C82" s="10"/>
      <c r="D82" s="10"/>
      <c r="E82" s="10"/>
      <c r="F82" s="10"/>
      <c r="G82" s="10"/>
      <c r="H82" s="10"/>
      <c r="I82" s="10"/>
    </row>
    <row r="83" ht="13.5" customHeight="1">
      <c r="A83" s="11"/>
      <c r="B83" s="10"/>
      <c r="C83" s="10"/>
      <c r="D83" s="10"/>
      <c r="E83" s="10"/>
      <c r="F83" s="10"/>
      <c r="G83" s="10"/>
      <c r="H83" s="10"/>
      <c r="I83" s="10"/>
    </row>
    <row r="84" ht="13.5" customHeight="1">
      <c r="A84" s="11"/>
      <c r="B84" s="10"/>
      <c r="C84" s="10"/>
      <c r="D84" s="10"/>
      <c r="E84" s="10"/>
      <c r="F84" s="10"/>
      <c r="G84" s="10"/>
      <c r="H84" s="10"/>
      <c r="I84" s="10"/>
    </row>
    <row r="85" ht="13.5" customHeight="1">
      <c r="A85" s="11"/>
      <c r="B85" s="10"/>
      <c r="C85" s="10"/>
      <c r="D85" s="10"/>
      <c r="E85" s="10"/>
      <c r="F85" s="10"/>
      <c r="G85" s="10"/>
      <c r="H85" s="10"/>
      <c r="I85" s="10"/>
    </row>
    <row r="86" ht="13.5" customHeight="1">
      <c r="A86" s="11"/>
      <c r="B86" s="10"/>
      <c r="C86" s="10"/>
      <c r="D86" s="10"/>
      <c r="E86" s="10"/>
      <c r="F86" s="10"/>
      <c r="G86" s="10"/>
      <c r="H86" s="10"/>
      <c r="I86" s="10"/>
    </row>
    <row r="87" ht="13.5" customHeight="1">
      <c r="A87" s="11"/>
      <c r="B87" s="10"/>
      <c r="C87" s="10"/>
      <c r="D87" s="10"/>
      <c r="E87" s="10"/>
      <c r="F87" s="10"/>
      <c r="G87" s="10"/>
      <c r="H87" s="10"/>
      <c r="I87" s="10"/>
    </row>
    <row r="88" ht="13.5" customHeight="1">
      <c r="A88" s="11"/>
      <c r="B88" s="10"/>
      <c r="C88" s="10"/>
      <c r="D88" s="10"/>
      <c r="E88" s="10"/>
      <c r="F88" s="10"/>
      <c r="G88" s="10"/>
      <c r="H88" s="10"/>
      <c r="I88" s="10"/>
    </row>
    <row r="89" ht="13.5" customHeight="1">
      <c r="A89" s="11"/>
      <c r="B89" s="10"/>
      <c r="C89" s="10"/>
      <c r="D89" s="10"/>
      <c r="E89" s="10"/>
      <c r="F89" s="10"/>
      <c r="G89" s="10"/>
      <c r="H89" s="10"/>
      <c r="I89" s="10"/>
    </row>
    <row r="90" ht="13.5" customHeight="1">
      <c r="A90" s="11"/>
      <c r="B90" s="10"/>
      <c r="C90" s="10"/>
      <c r="D90" s="10"/>
      <c r="E90" s="10"/>
      <c r="F90" s="10"/>
      <c r="G90" s="10"/>
      <c r="H90" s="10"/>
      <c r="I90" s="10"/>
    </row>
    <row r="91" ht="13.5" customHeight="1">
      <c r="A91" s="11"/>
      <c r="B91" s="10"/>
      <c r="C91" s="10"/>
      <c r="D91" s="10"/>
      <c r="E91" s="10"/>
      <c r="F91" s="10"/>
      <c r="G91" s="10"/>
      <c r="H91" s="10"/>
      <c r="I91" s="10"/>
    </row>
    <row r="92" ht="13.5" customHeight="1">
      <c r="A92" s="11"/>
      <c r="B92" s="10"/>
      <c r="C92" s="10"/>
      <c r="D92" s="10"/>
      <c r="E92" s="10"/>
      <c r="F92" s="10"/>
      <c r="G92" s="10"/>
      <c r="H92" s="10"/>
      <c r="I92" s="10"/>
    </row>
    <row r="93" ht="13.5" customHeight="1">
      <c r="A93" s="11"/>
      <c r="B93" s="10"/>
      <c r="C93" s="10"/>
      <c r="D93" s="10"/>
      <c r="E93" s="10"/>
      <c r="F93" s="10"/>
      <c r="G93" s="10"/>
      <c r="H93" s="10"/>
      <c r="I93" s="10"/>
    </row>
    <row r="94" ht="13.5" customHeight="1">
      <c r="A94" s="11"/>
      <c r="B94" s="10"/>
      <c r="C94" s="10"/>
      <c r="D94" s="10"/>
      <c r="E94" s="10"/>
      <c r="F94" s="10"/>
      <c r="G94" s="10"/>
      <c r="H94" s="10"/>
      <c r="I94" s="10"/>
    </row>
    <row r="95" ht="13.5" customHeight="1">
      <c r="A95" s="11"/>
      <c r="B95" s="10"/>
      <c r="C95" s="10"/>
      <c r="D95" s="10"/>
      <c r="E95" s="10"/>
      <c r="F95" s="10"/>
      <c r="G95" s="10"/>
      <c r="H95" s="10"/>
      <c r="I95" s="10"/>
    </row>
    <row r="96" ht="13.5" customHeight="1">
      <c r="A96" s="11"/>
      <c r="B96" s="10"/>
      <c r="C96" s="10"/>
      <c r="D96" s="10"/>
      <c r="E96" s="10"/>
      <c r="F96" s="10"/>
      <c r="G96" s="10"/>
      <c r="H96" s="10"/>
      <c r="I96" s="10"/>
    </row>
    <row r="97" ht="13.5" customHeight="1">
      <c r="A97" s="11"/>
      <c r="B97" s="10"/>
      <c r="C97" s="10"/>
      <c r="D97" s="10"/>
      <c r="E97" s="10"/>
      <c r="F97" s="10"/>
      <c r="G97" s="10"/>
      <c r="H97" s="10"/>
      <c r="I97" s="10"/>
    </row>
    <row r="98" ht="13.5" customHeight="1">
      <c r="A98" s="11"/>
      <c r="B98" s="10"/>
      <c r="C98" s="10"/>
      <c r="D98" s="10"/>
      <c r="E98" s="10"/>
      <c r="F98" s="10"/>
      <c r="G98" s="10"/>
      <c r="H98" s="10"/>
      <c r="I98" s="10"/>
    </row>
    <row r="99" ht="13.5" customHeight="1">
      <c r="A99" s="11"/>
      <c r="B99" s="10"/>
      <c r="C99" s="10"/>
      <c r="D99" s="10"/>
      <c r="E99" s="10"/>
      <c r="F99" s="10"/>
      <c r="G99" s="10"/>
      <c r="H99" s="10"/>
      <c r="I99" s="10"/>
    </row>
    <row r="100" ht="13.5" customHeight="1">
      <c r="A100" s="11"/>
      <c r="B100" s="10"/>
      <c r="C100" s="10"/>
      <c r="D100" s="10"/>
      <c r="E100" s="10"/>
      <c r="F100" s="10"/>
      <c r="G100" s="10"/>
      <c r="H100" s="10"/>
      <c r="I100" s="10"/>
    </row>
    <row r="101" ht="13.5" customHeight="1">
      <c r="A101" s="11"/>
      <c r="B101" s="10"/>
      <c r="C101" s="10"/>
      <c r="D101" s="10"/>
      <c r="E101" s="10"/>
      <c r="F101" s="10"/>
      <c r="G101" s="10"/>
      <c r="H101" s="10"/>
      <c r="I101" s="10"/>
    </row>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I1"/>
  </mergeCells>
  <dataValidations>
    <dataValidation type="list" allowBlank="1" sqref="B3:B101">
      <formula1>"Unit 1 / Phase 1,Phase 2,Phase 3,Final"</formula1>
    </dataValidation>
    <dataValidation type="list" allowBlank="1" sqref="C3:C101">
      <formula1>"Meeting,Telephone Call,Online Meeting,Email,Site Visit,Other"</formula1>
    </dataValidation>
  </dataValidations>
  <hyperlinks>
    <hyperlink r:id="rId1" ref="I3"/>
    <hyperlink r:id="rId2" ref="I4"/>
  </hyperlinks>
  <printOptions/>
  <pageMargins bottom="0.75" footer="0.0" header="0.0" left="0.7" right="0.7" top="0.75"/>
  <pageSetup orientation="landscape"/>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19.0"/>
    <col customWidth="1" min="3" max="4" width="34.0"/>
    <col customWidth="1" min="5" max="5" width="38.0"/>
    <col customWidth="1" min="6" max="6" width="24.0"/>
    <col customWidth="1" min="7" max="8" width="14.0"/>
    <col customWidth="1" min="9" max="26" width="8.63"/>
  </cols>
  <sheetData>
    <row r="1" ht="30.0" customHeight="1">
      <c r="A1" s="1" t="s">
        <v>172</v>
      </c>
      <c r="B1" s="2"/>
      <c r="C1" s="2"/>
      <c r="D1" s="2"/>
      <c r="E1" s="2"/>
      <c r="F1" s="2"/>
      <c r="G1" s="2"/>
      <c r="H1" s="3"/>
    </row>
    <row r="2" ht="13.5" customHeight="1">
      <c r="A2" s="9" t="s">
        <v>173</v>
      </c>
      <c r="B2" s="9" t="s">
        <v>44</v>
      </c>
      <c r="C2" s="9" t="s">
        <v>175</v>
      </c>
      <c r="D2" s="9" t="s">
        <v>177</v>
      </c>
      <c r="E2" s="9" t="s">
        <v>178</v>
      </c>
      <c r="F2" s="9" t="s">
        <v>179</v>
      </c>
      <c r="G2" s="9" t="s">
        <v>180</v>
      </c>
      <c r="H2" s="9" t="s">
        <v>54</v>
      </c>
    </row>
    <row r="3" ht="13.5" customHeight="1">
      <c r="A3" s="23" t="s">
        <v>181</v>
      </c>
      <c r="B3" s="10" t="s">
        <v>34</v>
      </c>
      <c r="C3" s="24" t="s">
        <v>186</v>
      </c>
      <c r="D3" s="10" t="s">
        <v>187</v>
      </c>
      <c r="E3" s="10" t="s">
        <v>189</v>
      </c>
      <c r="F3" s="10" t="s">
        <v>190</v>
      </c>
      <c r="G3" s="11">
        <v>46257.0</v>
      </c>
      <c r="H3" s="10" t="s">
        <v>191</v>
      </c>
    </row>
    <row r="4" ht="13.5" customHeight="1">
      <c r="A4" s="23" t="s">
        <v>192</v>
      </c>
      <c r="B4" s="10" t="s">
        <v>34</v>
      </c>
      <c r="C4" s="25" t="s">
        <v>195</v>
      </c>
      <c r="D4" s="24" t="s">
        <v>197</v>
      </c>
      <c r="E4" s="10" t="s">
        <v>198</v>
      </c>
      <c r="F4" s="10" t="s">
        <v>199</v>
      </c>
      <c r="G4" s="11">
        <v>46259.0</v>
      </c>
      <c r="H4" s="10" t="s">
        <v>191</v>
      </c>
    </row>
    <row r="5" ht="13.5" customHeight="1">
      <c r="A5" s="11"/>
      <c r="B5" s="10"/>
      <c r="C5" s="10"/>
      <c r="D5" s="10"/>
      <c r="E5" s="10"/>
      <c r="F5" s="10"/>
      <c r="G5" s="11"/>
      <c r="H5" s="10"/>
    </row>
    <row r="6" ht="13.5" customHeight="1">
      <c r="A6" s="11"/>
      <c r="B6" s="10"/>
      <c r="C6" s="10"/>
      <c r="D6" s="10"/>
      <c r="E6" s="10"/>
      <c r="F6" s="10"/>
      <c r="G6" s="11"/>
      <c r="H6" s="10"/>
    </row>
    <row r="7" ht="13.5" customHeight="1">
      <c r="A7" s="11"/>
      <c r="B7" s="10"/>
      <c r="C7" s="10"/>
      <c r="D7" s="10"/>
      <c r="E7" s="10"/>
      <c r="F7" s="10"/>
      <c r="G7" s="11"/>
      <c r="H7" s="10"/>
    </row>
    <row r="8" ht="13.5" customHeight="1">
      <c r="A8" s="11"/>
      <c r="B8" s="10"/>
      <c r="C8" s="10"/>
      <c r="D8" s="10"/>
      <c r="E8" s="10"/>
      <c r="F8" s="10"/>
      <c r="G8" s="11"/>
      <c r="H8" s="10"/>
    </row>
    <row r="9" ht="13.5" customHeight="1">
      <c r="A9" s="11"/>
      <c r="B9" s="10"/>
      <c r="C9" s="10"/>
      <c r="D9" s="10"/>
      <c r="E9" s="10"/>
      <c r="F9" s="10"/>
      <c r="G9" s="11"/>
      <c r="H9" s="10"/>
    </row>
    <row r="10" ht="13.5" customHeight="1">
      <c r="A10" s="11"/>
      <c r="B10" s="10"/>
      <c r="C10" s="10"/>
      <c r="D10" s="10"/>
      <c r="E10" s="10"/>
      <c r="F10" s="10"/>
      <c r="G10" s="11"/>
      <c r="H10" s="10"/>
    </row>
    <row r="11" ht="13.5" customHeight="1">
      <c r="A11" s="11"/>
      <c r="B11" s="10"/>
      <c r="C11" s="10"/>
      <c r="D11" s="10"/>
      <c r="E11" s="10"/>
      <c r="F11" s="10"/>
      <c r="G11" s="11"/>
      <c r="H11" s="10"/>
    </row>
    <row r="12" ht="13.5" customHeight="1">
      <c r="A12" s="11"/>
      <c r="B12" s="10"/>
      <c r="C12" s="10"/>
      <c r="D12" s="10"/>
      <c r="E12" s="10"/>
      <c r="F12" s="10"/>
      <c r="G12" s="11"/>
      <c r="H12" s="10"/>
    </row>
    <row r="13" ht="13.5" customHeight="1">
      <c r="A13" s="11"/>
      <c r="B13" s="10"/>
      <c r="C13" s="10"/>
      <c r="D13" s="10"/>
      <c r="E13" s="10"/>
      <c r="F13" s="10"/>
      <c r="G13" s="11"/>
      <c r="H13" s="10"/>
    </row>
    <row r="14" ht="13.5" customHeight="1">
      <c r="A14" s="11"/>
      <c r="B14" s="10"/>
      <c r="C14" s="10"/>
      <c r="D14" s="10"/>
      <c r="E14" s="10"/>
      <c r="F14" s="10"/>
      <c r="G14" s="11"/>
      <c r="H14" s="10"/>
    </row>
    <row r="15" ht="13.5" customHeight="1">
      <c r="A15" s="11"/>
      <c r="B15" s="10"/>
      <c r="C15" s="10"/>
      <c r="D15" s="10"/>
      <c r="E15" s="10"/>
      <c r="F15" s="10"/>
      <c r="G15" s="11"/>
      <c r="H15" s="10"/>
    </row>
    <row r="16" ht="13.5" customHeight="1">
      <c r="A16" s="11"/>
      <c r="B16" s="10"/>
      <c r="C16" s="10"/>
      <c r="D16" s="10"/>
      <c r="E16" s="10"/>
      <c r="F16" s="10"/>
      <c r="G16" s="11"/>
      <c r="H16" s="10"/>
    </row>
    <row r="17" ht="13.5" customHeight="1">
      <c r="A17" s="11"/>
      <c r="B17" s="10"/>
      <c r="C17" s="10"/>
      <c r="D17" s="10"/>
      <c r="E17" s="10"/>
      <c r="F17" s="10"/>
      <c r="G17" s="11"/>
      <c r="H17" s="10"/>
    </row>
    <row r="18" ht="13.5" customHeight="1">
      <c r="A18" s="11"/>
      <c r="B18" s="10"/>
      <c r="C18" s="10"/>
      <c r="D18" s="10"/>
      <c r="E18" s="10"/>
      <c r="F18" s="10"/>
      <c r="G18" s="11"/>
      <c r="H18" s="10"/>
    </row>
    <row r="19" ht="13.5" customHeight="1">
      <c r="A19" s="11"/>
      <c r="B19" s="10"/>
      <c r="C19" s="10"/>
      <c r="D19" s="10"/>
      <c r="E19" s="10"/>
      <c r="F19" s="10"/>
      <c r="G19" s="11"/>
      <c r="H19" s="10"/>
    </row>
    <row r="20" ht="13.5" customHeight="1">
      <c r="A20" s="11"/>
      <c r="B20" s="10"/>
      <c r="C20" s="10"/>
      <c r="D20" s="10"/>
      <c r="E20" s="10"/>
      <c r="F20" s="10"/>
      <c r="G20" s="11"/>
      <c r="H20" s="10"/>
    </row>
    <row r="21" ht="13.5" customHeight="1">
      <c r="A21" s="11"/>
      <c r="B21" s="10"/>
      <c r="C21" s="10"/>
      <c r="D21" s="10"/>
      <c r="E21" s="10"/>
      <c r="F21" s="10"/>
      <c r="G21" s="11"/>
      <c r="H21" s="10"/>
    </row>
    <row r="22" ht="13.5" customHeight="1">
      <c r="A22" s="11"/>
      <c r="B22" s="10"/>
      <c r="C22" s="10"/>
      <c r="D22" s="10"/>
      <c r="E22" s="10"/>
      <c r="F22" s="10"/>
      <c r="G22" s="11"/>
      <c r="H22" s="10"/>
    </row>
    <row r="23" ht="13.5" customHeight="1">
      <c r="A23" s="11"/>
      <c r="B23" s="10"/>
      <c r="C23" s="10"/>
      <c r="D23" s="10"/>
      <c r="E23" s="10"/>
      <c r="F23" s="10"/>
      <c r="G23" s="11"/>
      <c r="H23" s="10"/>
    </row>
    <row r="24" ht="13.5" customHeight="1">
      <c r="A24" s="11"/>
      <c r="B24" s="10"/>
      <c r="C24" s="10"/>
      <c r="D24" s="10"/>
      <c r="E24" s="10"/>
      <c r="F24" s="10"/>
      <c r="G24" s="11"/>
      <c r="H24" s="10"/>
    </row>
    <row r="25" ht="13.5" customHeight="1">
      <c r="A25" s="11"/>
      <c r="B25" s="10"/>
      <c r="C25" s="10"/>
      <c r="D25" s="10"/>
      <c r="E25" s="10"/>
      <c r="F25" s="10"/>
      <c r="G25" s="11"/>
      <c r="H25" s="10"/>
    </row>
    <row r="26" ht="13.5" customHeight="1">
      <c r="A26" s="11"/>
      <c r="B26" s="10"/>
      <c r="C26" s="10"/>
      <c r="D26" s="10"/>
      <c r="E26" s="10"/>
      <c r="F26" s="10"/>
      <c r="G26" s="11"/>
      <c r="H26" s="10"/>
    </row>
    <row r="27" ht="13.5" customHeight="1">
      <c r="A27" s="11"/>
      <c r="B27" s="10"/>
      <c r="C27" s="10"/>
      <c r="D27" s="10"/>
      <c r="E27" s="10"/>
      <c r="F27" s="10"/>
      <c r="G27" s="11"/>
      <c r="H27" s="10"/>
    </row>
    <row r="28" ht="13.5" customHeight="1">
      <c r="A28" s="11"/>
      <c r="B28" s="10"/>
      <c r="C28" s="10"/>
      <c r="D28" s="10"/>
      <c r="E28" s="10"/>
      <c r="F28" s="10"/>
      <c r="G28" s="11"/>
      <c r="H28" s="10"/>
    </row>
    <row r="29" ht="13.5" customHeight="1">
      <c r="A29" s="11"/>
      <c r="B29" s="10"/>
      <c r="C29" s="10"/>
      <c r="D29" s="10"/>
      <c r="E29" s="10"/>
      <c r="F29" s="10"/>
      <c r="G29" s="11"/>
      <c r="H29" s="10"/>
    </row>
    <row r="30" ht="13.5" customHeight="1">
      <c r="A30" s="11"/>
      <c r="B30" s="10"/>
      <c r="C30" s="10"/>
      <c r="D30" s="10"/>
      <c r="E30" s="10"/>
      <c r="F30" s="10"/>
      <c r="G30" s="11"/>
      <c r="H30" s="10"/>
    </row>
    <row r="31" ht="13.5" customHeight="1">
      <c r="A31" s="11"/>
      <c r="B31" s="10"/>
      <c r="C31" s="10"/>
      <c r="D31" s="10"/>
      <c r="E31" s="10"/>
      <c r="F31" s="10"/>
      <c r="G31" s="11"/>
      <c r="H31" s="10"/>
    </row>
    <row r="32" ht="13.5" customHeight="1">
      <c r="A32" s="11"/>
      <c r="B32" s="10"/>
      <c r="C32" s="10"/>
      <c r="D32" s="10"/>
      <c r="E32" s="10"/>
      <c r="F32" s="10"/>
      <c r="G32" s="11"/>
      <c r="H32" s="10"/>
    </row>
    <row r="33" ht="13.5" customHeight="1">
      <c r="A33" s="11"/>
      <c r="B33" s="10"/>
      <c r="C33" s="10"/>
      <c r="D33" s="10"/>
      <c r="E33" s="10"/>
      <c r="F33" s="10"/>
      <c r="G33" s="11"/>
      <c r="H33" s="10"/>
    </row>
    <row r="34" ht="13.5" customHeight="1">
      <c r="A34" s="11"/>
      <c r="B34" s="10"/>
      <c r="C34" s="10"/>
      <c r="D34" s="10"/>
      <c r="E34" s="10"/>
      <c r="F34" s="10"/>
      <c r="G34" s="11"/>
      <c r="H34" s="10"/>
    </row>
    <row r="35" ht="13.5" customHeight="1">
      <c r="A35" s="11"/>
      <c r="B35" s="10"/>
      <c r="C35" s="10"/>
      <c r="D35" s="10"/>
      <c r="E35" s="10"/>
      <c r="F35" s="10"/>
      <c r="G35" s="11"/>
      <c r="H35" s="10"/>
    </row>
    <row r="36" ht="13.5" customHeight="1">
      <c r="A36" s="11"/>
      <c r="B36" s="10"/>
      <c r="C36" s="10"/>
      <c r="D36" s="10"/>
      <c r="E36" s="10"/>
      <c r="F36" s="10"/>
      <c r="G36" s="11"/>
      <c r="H36" s="10"/>
    </row>
    <row r="37" ht="13.5" customHeight="1">
      <c r="A37" s="11"/>
      <c r="B37" s="10"/>
      <c r="C37" s="10"/>
      <c r="D37" s="10"/>
      <c r="E37" s="10"/>
      <c r="F37" s="10"/>
      <c r="G37" s="11"/>
      <c r="H37" s="10"/>
    </row>
    <row r="38" ht="13.5" customHeight="1">
      <c r="A38" s="11"/>
      <c r="B38" s="10"/>
      <c r="C38" s="10"/>
      <c r="D38" s="10"/>
      <c r="E38" s="10"/>
      <c r="F38" s="10"/>
      <c r="G38" s="11"/>
      <c r="H38" s="10"/>
    </row>
    <row r="39" ht="13.5" customHeight="1">
      <c r="A39" s="11"/>
      <c r="B39" s="10"/>
      <c r="C39" s="10"/>
      <c r="D39" s="10"/>
      <c r="E39" s="10"/>
      <c r="F39" s="10"/>
      <c r="G39" s="11"/>
      <c r="H39" s="10"/>
    </row>
    <row r="40" ht="13.5" customHeight="1">
      <c r="A40" s="11"/>
      <c r="B40" s="10"/>
      <c r="C40" s="10"/>
      <c r="D40" s="10"/>
      <c r="E40" s="10"/>
      <c r="F40" s="10"/>
      <c r="G40" s="11"/>
      <c r="H40" s="10"/>
    </row>
    <row r="41" ht="13.5" customHeight="1">
      <c r="A41" s="11"/>
      <c r="B41" s="10"/>
      <c r="C41" s="10"/>
      <c r="D41" s="10"/>
      <c r="E41" s="10"/>
      <c r="F41" s="10"/>
      <c r="G41" s="11"/>
      <c r="H41" s="10"/>
    </row>
    <row r="42" ht="13.5" customHeight="1">
      <c r="A42" s="11"/>
      <c r="B42" s="10"/>
      <c r="C42" s="10"/>
      <c r="D42" s="10"/>
      <c r="E42" s="10"/>
      <c r="F42" s="10"/>
      <c r="G42" s="11"/>
      <c r="H42" s="10"/>
    </row>
    <row r="43" ht="13.5" customHeight="1">
      <c r="A43" s="11"/>
      <c r="B43" s="10"/>
      <c r="C43" s="10"/>
      <c r="D43" s="10"/>
      <c r="E43" s="10"/>
      <c r="F43" s="10"/>
      <c r="G43" s="11"/>
      <c r="H43" s="10"/>
    </row>
    <row r="44" ht="13.5" customHeight="1">
      <c r="A44" s="11"/>
      <c r="B44" s="10"/>
      <c r="C44" s="10"/>
      <c r="D44" s="10"/>
      <c r="E44" s="10"/>
      <c r="F44" s="10"/>
      <c r="G44" s="11"/>
      <c r="H44" s="10"/>
    </row>
    <row r="45" ht="13.5" customHeight="1">
      <c r="A45" s="11"/>
      <c r="B45" s="10"/>
      <c r="C45" s="10"/>
      <c r="D45" s="10"/>
      <c r="E45" s="10"/>
      <c r="F45" s="10"/>
      <c r="G45" s="11"/>
      <c r="H45" s="10"/>
    </row>
    <row r="46" ht="13.5" customHeight="1">
      <c r="A46" s="11"/>
      <c r="B46" s="10"/>
      <c r="C46" s="10"/>
      <c r="D46" s="10"/>
      <c r="E46" s="10"/>
      <c r="F46" s="10"/>
      <c r="G46" s="11"/>
      <c r="H46" s="10"/>
    </row>
    <row r="47" ht="13.5" customHeight="1">
      <c r="A47" s="11"/>
      <c r="B47" s="10"/>
      <c r="C47" s="10"/>
      <c r="D47" s="10"/>
      <c r="E47" s="10"/>
      <c r="F47" s="10"/>
      <c r="G47" s="11"/>
      <c r="H47" s="10"/>
    </row>
    <row r="48" ht="13.5" customHeight="1">
      <c r="A48" s="11"/>
      <c r="B48" s="10"/>
      <c r="C48" s="10"/>
      <c r="D48" s="10"/>
      <c r="E48" s="10"/>
      <c r="F48" s="10"/>
      <c r="G48" s="11"/>
      <c r="H48" s="10"/>
    </row>
    <row r="49" ht="13.5" customHeight="1">
      <c r="A49" s="11"/>
      <c r="B49" s="10"/>
      <c r="C49" s="10"/>
      <c r="D49" s="10"/>
      <c r="E49" s="10"/>
      <c r="F49" s="10"/>
      <c r="G49" s="11"/>
      <c r="H49" s="10"/>
    </row>
    <row r="50" ht="13.5" customHeight="1">
      <c r="A50" s="11"/>
      <c r="B50" s="10"/>
      <c r="C50" s="10"/>
      <c r="D50" s="10"/>
      <c r="E50" s="10"/>
      <c r="F50" s="10"/>
      <c r="G50" s="11"/>
      <c r="H50" s="10"/>
    </row>
    <row r="51" ht="13.5" customHeight="1">
      <c r="A51" s="11"/>
      <c r="B51" s="10"/>
      <c r="C51" s="10"/>
      <c r="D51" s="10"/>
      <c r="E51" s="10"/>
      <c r="F51" s="10"/>
      <c r="G51" s="11"/>
      <c r="H51" s="10"/>
    </row>
    <row r="52" ht="13.5" customHeight="1">
      <c r="A52" s="11"/>
      <c r="B52" s="10"/>
      <c r="C52" s="10"/>
      <c r="D52" s="10"/>
      <c r="E52" s="10"/>
      <c r="F52" s="10"/>
      <c r="G52" s="11"/>
      <c r="H52" s="10"/>
    </row>
    <row r="53" ht="13.5" customHeight="1">
      <c r="A53" s="11"/>
      <c r="B53" s="10"/>
      <c r="C53" s="10"/>
      <c r="D53" s="10"/>
      <c r="E53" s="10"/>
      <c r="F53" s="10"/>
      <c r="G53" s="11"/>
      <c r="H53" s="10"/>
    </row>
    <row r="54" ht="13.5" customHeight="1">
      <c r="A54" s="11"/>
      <c r="B54" s="10"/>
      <c r="C54" s="10"/>
      <c r="D54" s="10"/>
      <c r="E54" s="10"/>
      <c r="F54" s="10"/>
      <c r="G54" s="11"/>
      <c r="H54" s="10"/>
    </row>
    <row r="55" ht="13.5" customHeight="1">
      <c r="A55" s="11"/>
      <c r="B55" s="10"/>
      <c r="C55" s="10"/>
      <c r="D55" s="10"/>
      <c r="E55" s="10"/>
      <c r="F55" s="10"/>
      <c r="G55" s="11"/>
      <c r="H55" s="10"/>
    </row>
    <row r="56" ht="13.5" customHeight="1">
      <c r="A56" s="11"/>
      <c r="B56" s="10"/>
      <c r="C56" s="10"/>
      <c r="D56" s="10"/>
      <c r="E56" s="10"/>
      <c r="F56" s="10"/>
      <c r="G56" s="11"/>
      <c r="H56" s="10"/>
    </row>
    <row r="57" ht="13.5" customHeight="1">
      <c r="A57" s="11"/>
      <c r="B57" s="10"/>
      <c r="C57" s="10"/>
      <c r="D57" s="10"/>
      <c r="E57" s="10"/>
      <c r="F57" s="10"/>
      <c r="G57" s="11"/>
      <c r="H57" s="10"/>
    </row>
    <row r="58" ht="13.5" customHeight="1">
      <c r="A58" s="11"/>
      <c r="B58" s="10"/>
      <c r="C58" s="10"/>
      <c r="D58" s="10"/>
      <c r="E58" s="10"/>
      <c r="F58" s="10"/>
      <c r="G58" s="11"/>
      <c r="H58" s="10"/>
    </row>
    <row r="59" ht="13.5" customHeight="1">
      <c r="A59" s="11"/>
      <c r="B59" s="10"/>
      <c r="C59" s="10"/>
      <c r="D59" s="10"/>
      <c r="E59" s="10"/>
      <c r="F59" s="10"/>
      <c r="G59" s="11"/>
      <c r="H59" s="10"/>
    </row>
    <row r="60" ht="13.5" customHeight="1">
      <c r="A60" s="11"/>
      <c r="B60" s="10"/>
      <c r="C60" s="10"/>
      <c r="D60" s="10"/>
      <c r="E60" s="10"/>
      <c r="F60" s="10"/>
      <c r="G60" s="11"/>
      <c r="H60" s="10"/>
    </row>
    <row r="61" ht="13.5" customHeight="1">
      <c r="A61" s="11"/>
      <c r="B61" s="10"/>
      <c r="C61" s="10"/>
      <c r="D61" s="10"/>
      <c r="E61" s="10"/>
      <c r="F61" s="10"/>
      <c r="G61" s="11"/>
      <c r="H61" s="10"/>
    </row>
    <row r="62" ht="13.5" customHeight="1">
      <c r="A62" s="11"/>
      <c r="B62" s="10"/>
      <c r="C62" s="10"/>
      <c r="D62" s="10"/>
      <c r="E62" s="10"/>
      <c r="F62" s="10"/>
      <c r="G62" s="11"/>
      <c r="H62" s="10"/>
    </row>
    <row r="63" ht="13.5" customHeight="1">
      <c r="A63" s="11"/>
      <c r="B63" s="10"/>
      <c r="C63" s="10"/>
      <c r="D63" s="10"/>
      <c r="E63" s="10"/>
      <c r="F63" s="10"/>
      <c r="G63" s="11"/>
      <c r="H63" s="10"/>
    </row>
    <row r="64" ht="13.5" customHeight="1">
      <c r="A64" s="11"/>
      <c r="B64" s="10"/>
      <c r="C64" s="10"/>
      <c r="D64" s="10"/>
      <c r="E64" s="10"/>
      <c r="F64" s="10"/>
      <c r="G64" s="11"/>
      <c r="H64" s="10"/>
    </row>
    <row r="65" ht="13.5" customHeight="1">
      <c r="A65" s="11"/>
      <c r="B65" s="10"/>
      <c r="C65" s="10"/>
      <c r="D65" s="10"/>
      <c r="E65" s="10"/>
      <c r="F65" s="10"/>
      <c r="G65" s="11"/>
      <c r="H65" s="10"/>
    </row>
    <row r="66" ht="13.5" customHeight="1">
      <c r="A66" s="11"/>
      <c r="B66" s="10"/>
      <c r="C66" s="10"/>
      <c r="D66" s="10"/>
      <c r="E66" s="10"/>
      <c r="F66" s="10"/>
      <c r="G66" s="11"/>
      <c r="H66" s="10"/>
    </row>
    <row r="67" ht="13.5" customHeight="1">
      <c r="A67" s="11"/>
      <c r="B67" s="10"/>
      <c r="C67" s="10"/>
      <c r="D67" s="10"/>
      <c r="E67" s="10"/>
      <c r="F67" s="10"/>
      <c r="G67" s="11"/>
      <c r="H67" s="10"/>
    </row>
    <row r="68" ht="13.5" customHeight="1">
      <c r="A68" s="11"/>
      <c r="B68" s="10"/>
      <c r="C68" s="10"/>
      <c r="D68" s="10"/>
      <c r="E68" s="10"/>
      <c r="F68" s="10"/>
      <c r="G68" s="11"/>
      <c r="H68" s="10"/>
    </row>
    <row r="69" ht="13.5" customHeight="1">
      <c r="A69" s="11"/>
      <c r="B69" s="10"/>
      <c r="C69" s="10"/>
      <c r="D69" s="10"/>
      <c r="E69" s="10"/>
      <c r="F69" s="10"/>
      <c r="G69" s="11"/>
      <c r="H69" s="10"/>
    </row>
    <row r="70" ht="13.5" customHeight="1">
      <c r="A70" s="11"/>
      <c r="B70" s="10"/>
      <c r="C70" s="10"/>
      <c r="D70" s="10"/>
      <c r="E70" s="10"/>
      <c r="F70" s="10"/>
      <c r="G70" s="11"/>
      <c r="H70" s="10"/>
    </row>
    <row r="71" ht="13.5" customHeight="1">
      <c r="A71" s="11"/>
      <c r="B71" s="10"/>
      <c r="C71" s="10"/>
      <c r="D71" s="10"/>
      <c r="E71" s="10"/>
      <c r="F71" s="10"/>
      <c r="G71" s="11"/>
      <c r="H71" s="10"/>
    </row>
    <row r="72" ht="13.5" customHeight="1">
      <c r="A72" s="11"/>
      <c r="B72" s="10"/>
      <c r="C72" s="10"/>
      <c r="D72" s="10"/>
      <c r="E72" s="10"/>
      <c r="F72" s="10"/>
      <c r="G72" s="11"/>
      <c r="H72" s="10"/>
    </row>
    <row r="73" ht="13.5" customHeight="1">
      <c r="A73" s="11"/>
      <c r="B73" s="10"/>
      <c r="C73" s="10"/>
      <c r="D73" s="10"/>
      <c r="E73" s="10"/>
      <c r="F73" s="10"/>
      <c r="G73" s="11"/>
      <c r="H73" s="10"/>
    </row>
    <row r="74" ht="13.5" customHeight="1">
      <c r="A74" s="11"/>
      <c r="B74" s="10"/>
      <c r="C74" s="10"/>
      <c r="D74" s="10"/>
      <c r="E74" s="10"/>
      <c r="F74" s="10"/>
      <c r="G74" s="11"/>
      <c r="H74" s="10"/>
    </row>
    <row r="75" ht="13.5" customHeight="1">
      <c r="A75" s="11"/>
      <c r="B75" s="10"/>
      <c r="C75" s="10"/>
      <c r="D75" s="10"/>
      <c r="E75" s="10"/>
      <c r="F75" s="10"/>
      <c r="G75" s="11"/>
      <c r="H75" s="10"/>
    </row>
    <row r="76" ht="13.5" customHeight="1">
      <c r="A76" s="11"/>
      <c r="B76" s="10"/>
      <c r="C76" s="10"/>
      <c r="D76" s="10"/>
      <c r="E76" s="10"/>
      <c r="F76" s="10"/>
      <c r="G76" s="11"/>
      <c r="H76" s="10"/>
    </row>
    <row r="77" ht="13.5" customHeight="1">
      <c r="A77" s="11"/>
      <c r="B77" s="10"/>
      <c r="C77" s="10"/>
      <c r="D77" s="10"/>
      <c r="E77" s="10"/>
      <c r="F77" s="10"/>
      <c r="G77" s="11"/>
      <c r="H77" s="10"/>
    </row>
    <row r="78" ht="13.5" customHeight="1">
      <c r="A78" s="11"/>
      <c r="B78" s="10"/>
      <c r="C78" s="10"/>
      <c r="D78" s="10"/>
      <c r="E78" s="10"/>
      <c r="F78" s="10"/>
      <c r="G78" s="11"/>
      <c r="H78" s="10"/>
    </row>
    <row r="79" ht="13.5" customHeight="1">
      <c r="A79" s="11"/>
      <c r="B79" s="10"/>
      <c r="C79" s="10"/>
      <c r="D79" s="10"/>
      <c r="E79" s="10"/>
      <c r="F79" s="10"/>
      <c r="G79" s="11"/>
      <c r="H79" s="10"/>
    </row>
    <row r="80" ht="13.5" customHeight="1">
      <c r="A80" s="11"/>
      <c r="B80" s="10"/>
      <c r="C80" s="10"/>
      <c r="D80" s="10"/>
      <c r="E80" s="10"/>
      <c r="F80" s="10"/>
      <c r="G80" s="11"/>
      <c r="H80" s="10"/>
    </row>
    <row r="81" ht="13.5" customHeight="1">
      <c r="A81" s="11"/>
      <c r="B81" s="10"/>
      <c r="C81" s="10"/>
      <c r="D81" s="10"/>
      <c r="E81" s="10"/>
      <c r="F81" s="10"/>
      <c r="G81" s="11"/>
      <c r="H81" s="10"/>
    </row>
    <row r="82" ht="13.5" customHeight="1">
      <c r="A82" s="11"/>
      <c r="B82" s="10"/>
      <c r="C82" s="10"/>
      <c r="D82" s="10"/>
      <c r="E82" s="10"/>
      <c r="F82" s="10"/>
      <c r="G82" s="11"/>
      <c r="H82" s="10"/>
    </row>
    <row r="83" ht="13.5" customHeight="1">
      <c r="A83" s="11"/>
      <c r="B83" s="10"/>
      <c r="C83" s="10"/>
      <c r="D83" s="10"/>
      <c r="E83" s="10"/>
      <c r="F83" s="10"/>
      <c r="G83" s="11"/>
      <c r="H83" s="10"/>
    </row>
    <row r="84" ht="13.5" customHeight="1">
      <c r="A84" s="11"/>
      <c r="B84" s="10"/>
      <c r="C84" s="10"/>
      <c r="D84" s="10"/>
      <c r="E84" s="10"/>
      <c r="F84" s="10"/>
      <c r="G84" s="11"/>
      <c r="H84" s="10"/>
    </row>
    <row r="85" ht="13.5" customHeight="1">
      <c r="A85" s="11"/>
      <c r="B85" s="10"/>
      <c r="C85" s="10"/>
      <c r="D85" s="10"/>
      <c r="E85" s="10"/>
      <c r="F85" s="10"/>
      <c r="G85" s="11"/>
      <c r="H85" s="10"/>
    </row>
    <row r="86" ht="13.5" customHeight="1">
      <c r="A86" s="11"/>
      <c r="B86" s="10"/>
      <c r="C86" s="10"/>
      <c r="D86" s="10"/>
      <c r="E86" s="10"/>
      <c r="F86" s="10"/>
      <c r="G86" s="11"/>
      <c r="H86" s="10"/>
    </row>
    <row r="87" ht="13.5" customHeight="1">
      <c r="A87" s="11"/>
      <c r="B87" s="10"/>
      <c r="C87" s="10"/>
      <c r="D87" s="10"/>
      <c r="E87" s="10"/>
      <c r="F87" s="10"/>
      <c r="G87" s="11"/>
      <c r="H87" s="10"/>
    </row>
    <row r="88" ht="13.5" customHeight="1">
      <c r="A88" s="11"/>
      <c r="B88" s="10"/>
      <c r="C88" s="10"/>
      <c r="D88" s="10"/>
      <c r="E88" s="10"/>
      <c r="F88" s="10"/>
      <c r="G88" s="11"/>
      <c r="H88" s="10"/>
    </row>
    <row r="89" ht="13.5" customHeight="1">
      <c r="A89" s="11"/>
      <c r="B89" s="10"/>
      <c r="C89" s="10"/>
      <c r="D89" s="10"/>
      <c r="E89" s="10"/>
      <c r="F89" s="10"/>
      <c r="G89" s="11"/>
      <c r="H89" s="10"/>
    </row>
    <row r="90" ht="13.5" customHeight="1">
      <c r="A90" s="11"/>
      <c r="B90" s="10"/>
      <c r="C90" s="10"/>
      <c r="D90" s="10"/>
      <c r="E90" s="10"/>
      <c r="F90" s="10"/>
      <c r="G90" s="11"/>
      <c r="H90" s="10"/>
    </row>
    <row r="91" ht="13.5" customHeight="1">
      <c r="A91" s="11"/>
      <c r="B91" s="10"/>
      <c r="C91" s="10"/>
      <c r="D91" s="10"/>
      <c r="E91" s="10"/>
      <c r="F91" s="10"/>
      <c r="G91" s="11"/>
      <c r="H91" s="10"/>
    </row>
    <row r="92" ht="13.5" customHeight="1">
      <c r="A92" s="11"/>
      <c r="B92" s="10"/>
      <c r="C92" s="10"/>
      <c r="D92" s="10"/>
      <c r="E92" s="10"/>
      <c r="F92" s="10"/>
      <c r="G92" s="11"/>
      <c r="H92" s="10"/>
    </row>
    <row r="93" ht="13.5" customHeight="1">
      <c r="A93" s="11"/>
      <c r="B93" s="10"/>
      <c r="C93" s="10"/>
      <c r="D93" s="10"/>
      <c r="E93" s="10"/>
      <c r="F93" s="10"/>
      <c r="G93" s="11"/>
      <c r="H93" s="10"/>
    </row>
    <row r="94" ht="13.5" customHeight="1">
      <c r="A94" s="11"/>
      <c r="B94" s="10"/>
      <c r="C94" s="10"/>
      <c r="D94" s="10"/>
      <c r="E94" s="10"/>
      <c r="F94" s="10"/>
      <c r="G94" s="11"/>
      <c r="H94" s="10"/>
    </row>
    <row r="95" ht="13.5" customHeight="1">
      <c r="A95" s="11"/>
      <c r="B95" s="10"/>
      <c r="C95" s="10"/>
      <c r="D95" s="10"/>
      <c r="E95" s="10"/>
      <c r="F95" s="10"/>
      <c r="G95" s="11"/>
      <c r="H95" s="10"/>
    </row>
    <row r="96" ht="13.5" customHeight="1">
      <c r="A96" s="11"/>
      <c r="B96" s="10"/>
      <c r="C96" s="10"/>
      <c r="D96" s="10"/>
      <c r="E96" s="10"/>
      <c r="F96" s="10"/>
      <c r="G96" s="11"/>
      <c r="H96" s="10"/>
    </row>
    <row r="97" ht="13.5" customHeight="1">
      <c r="A97" s="11"/>
      <c r="B97" s="10"/>
      <c r="C97" s="10"/>
      <c r="D97" s="10"/>
      <c r="E97" s="10"/>
      <c r="F97" s="10"/>
      <c r="G97" s="11"/>
      <c r="H97" s="10"/>
    </row>
    <row r="98" ht="13.5" customHeight="1">
      <c r="A98" s="11"/>
      <c r="B98" s="10"/>
      <c r="C98" s="10"/>
      <c r="D98" s="10"/>
      <c r="E98" s="10"/>
      <c r="F98" s="10"/>
      <c r="G98" s="11"/>
      <c r="H98" s="10"/>
    </row>
    <row r="99" ht="13.5" customHeight="1">
      <c r="A99" s="11"/>
      <c r="B99" s="10"/>
      <c r="C99" s="10"/>
      <c r="D99" s="10"/>
      <c r="E99" s="10"/>
      <c r="F99" s="10"/>
      <c r="G99" s="11"/>
      <c r="H99" s="10"/>
    </row>
    <row r="100" ht="13.5" customHeight="1">
      <c r="A100" s="11"/>
      <c r="B100" s="10"/>
      <c r="C100" s="10"/>
      <c r="D100" s="10"/>
      <c r="E100" s="10"/>
      <c r="F100" s="10"/>
      <c r="G100" s="11"/>
      <c r="H100" s="10"/>
    </row>
    <row r="101" ht="13.5" customHeight="1">
      <c r="A101" s="11"/>
      <c r="B101" s="10"/>
      <c r="C101" s="10"/>
      <c r="D101" s="10"/>
      <c r="E101" s="10"/>
      <c r="F101" s="10"/>
      <c r="G101" s="11"/>
      <c r="H101" s="10"/>
    </row>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H1"/>
  </mergeCells>
  <conditionalFormatting sqref="H3:H101">
    <cfRule type="expression" dxfId="5" priority="1">
      <formula>H3="Resolved"</formula>
    </cfRule>
  </conditionalFormatting>
  <conditionalFormatting sqref="H3:H101">
    <cfRule type="expression" dxfId="6" priority="2">
      <formula>H3="In Progress"</formula>
    </cfRule>
  </conditionalFormatting>
  <conditionalFormatting sqref="H3:H101">
    <cfRule type="expression" dxfId="7" priority="3">
      <formula>H3="Escalated"</formula>
    </cfRule>
  </conditionalFormatting>
  <dataValidations>
    <dataValidation type="list" allowBlank="1" sqref="B3:B101">
      <formula1>"Unit 1 / Phase 1,Phase 2,Phase 3,Final"</formula1>
    </dataValidation>
    <dataValidation type="list" allowBlank="1" sqref="H3:H101">
      <formula1>"Open,In Progress,Resolved,Escalated"</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58.0"/>
    <col customWidth="1" min="3" max="3" width="3.0"/>
    <col customWidth="1" min="4" max="4" width="40.0"/>
    <col customWidth="1" min="5" max="5" width="12.0"/>
    <col customWidth="1" min="6" max="6" width="3.0"/>
    <col customWidth="1" min="7" max="26" width="8.63"/>
  </cols>
  <sheetData>
    <row r="1" ht="30.0" customHeight="1">
      <c r="A1" s="1" t="s">
        <v>203</v>
      </c>
      <c r="B1" s="2"/>
      <c r="C1" s="2"/>
      <c r="D1" s="2"/>
      <c r="E1" s="2"/>
      <c r="F1" s="3"/>
    </row>
    <row r="2" ht="13.5" customHeight="1"/>
    <row r="3" ht="13.5" customHeight="1">
      <c r="A3" s="5" t="s">
        <v>204</v>
      </c>
      <c r="B3" s="5" t="s">
        <v>80</v>
      </c>
      <c r="D3" s="26" t="s">
        <v>205</v>
      </c>
      <c r="E3" s="2"/>
      <c r="F3" s="3"/>
    </row>
    <row r="4" ht="13.5" customHeight="1">
      <c r="A4" s="7" t="s">
        <v>100</v>
      </c>
      <c r="B4" s="15" t="s">
        <v>34</v>
      </c>
      <c r="D4" s="7" t="s">
        <v>206</v>
      </c>
      <c r="E4" s="27" t="s">
        <v>71</v>
      </c>
    </row>
    <row r="5" ht="13.5" customHeight="1">
      <c r="A5" s="7" t="s">
        <v>106</v>
      </c>
      <c r="B5" s="28" t="s">
        <v>207</v>
      </c>
      <c r="D5" s="7" t="s">
        <v>208</v>
      </c>
      <c r="E5" s="27" t="s">
        <v>71</v>
      </c>
    </row>
    <row r="6" ht="13.5" customHeight="1">
      <c r="A6" s="7" t="s">
        <v>209</v>
      </c>
      <c r="B6" s="28" t="s">
        <v>69</v>
      </c>
      <c r="D6" s="7" t="s">
        <v>210</v>
      </c>
      <c r="E6" s="29" t="s">
        <v>211</v>
      </c>
    </row>
    <row r="7" ht="60.0" customHeight="1">
      <c r="A7" s="7" t="s">
        <v>212</v>
      </c>
      <c r="B7" s="15" t="s">
        <v>213</v>
      </c>
      <c r="D7" s="7" t="s">
        <v>214</v>
      </c>
      <c r="E7" s="27" t="s">
        <v>71</v>
      </c>
    </row>
    <row r="8" ht="60.0" customHeight="1">
      <c r="A8" s="7" t="s">
        <v>215</v>
      </c>
      <c r="B8" s="15" t="s">
        <v>216</v>
      </c>
      <c r="D8" s="7" t="s">
        <v>217</v>
      </c>
      <c r="E8" s="27" t="s">
        <v>71</v>
      </c>
    </row>
    <row r="9" ht="60.0" customHeight="1">
      <c r="A9" s="7" t="s">
        <v>218</v>
      </c>
      <c r="B9" s="15" t="s">
        <v>219</v>
      </c>
      <c r="D9" s="7" t="s">
        <v>220</v>
      </c>
      <c r="E9" s="27" t="s">
        <v>71</v>
      </c>
    </row>
    <row r="10" ht="83.25" customHeight="1">
      <c r="A10" s="7" t="s">
        <v>221</v>
      </c>
      <c r="B10" s="15" t="s">
        <v>222</v>
      </c>
      <c r="D10" s="7" t="s">
        <v>223</v>
      </c>
      <c r="E10" s="27" t="s">
        <v>71</v>
      </c>
    </row>
    <row r="11" ht="60.0" customHeight="1">
      <c r="A11" s="7" t="s">
        <v>224</v>
      </c>
      <c r="B11" s="28" t="s">
        <v>225</v>
      </c>
      <c r="D11" s="7" t="s">
        <v>226</v>
      </c>
      <c r="E11" s="27" t="s">
        <v>71</v>
      </c>
    </row>
    <row r="12" ht="60.0" customHeight="1">
      <c r="A12" s="7" t="s">
        <v>227</v>
      </c>
      <c r="B12" s="15" t="s">
        <v>228</v>
      </c>
      <c r="D12" s="7" t="s">
        <v>229</v>
      </c>
      <c r="E12" s="29" t="s">
        <v>211</v>
      </c>
    </row>
    <row r="13" ht="78.0" customHeight="1">
      <c r="A13" s="7" t="s">
        <v>230</v>
      </c>
      <c r="B13" s="15" t="s">
        <v>231</v>
      </c>
    </row>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F1"/>
    <mergeCell ref="D3:F3"/>
  </mergeCells>
  <conditionalFormatting sqref="E4:E12">
    <cfRule type="expression" dxfId="5" priority="1">
      <formula>E4="Yes"</formula>
    </cfRule>
  </conditionalFormatting>
  <conditionalFormatting sqref="E4:E12">
    <cfRule type="expression" dxfId="7" priority="2">
      <formula>E4="No"</formula>
    </cfRule>
  </conditionalFormatting>
  <dataValidations>
    <dataValidation type="list" allowBlank="1" sqref="B4">
      <formula1>"Unit 1 / Phase 1,Phase 2,Phase 3,Final"</formula1>
    </dataValidation>
    <dataValidation type="list" allowBlank="1" sqref="B6">
      <formula1>"Not Started,In Progress,Completed,Delayed,Blocked"</formula1>
    </dataValidation>
    <dataValidation type="list" allowBlank="1" sqref="E4:E12">
      <formula1>"Yes,No"</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0"/>
    <col customWidth="1" min="2" max="2" width="62.0"/>
    <col customWidth="1" min="3" max="3" width="3.0"/>
    <col customWidth="1" min="4" max="4" width="20.0"/>
    <col customWidth="1" min="5" max="5" width="48.0"/>
    <col customWidth="1" min="6" max="6" width="3.0"/>
    <col customWidth="1" min="7" max="26" width="8.63"/>
  </cols>
  <sheetData>
    <row r="1" ht="30.0" customHeight="1">
      <c r="A1" s="1" t="s">
        <v>29</v>
      </c>
      <c r="B1" s="2"/>
      <c r="C1" s="2"/>
      <c r="D1" s="2"/>
      <c r="E1" s="2"/>
      <c r="F1" s="3"/>
    </row>
    <row r="2" ht="13.5" customHeight="1"/>
    <row r="3" ht="13.5" customHeight="1">
      <c r="A3" s="5" t="s">
        <v>232</v>
      </c>
      <c r="B3" s="5" t="s">
        <v>80</v>
      </c>
      <c r="D3" s="26" t="s">
        <v>233</v>
      </c>
      <c r="E3" s="2"/>
      <c r="F3" s="3"/>
    </row>
    <row r="4" ht="42.0" customHeight="1">
      <c r="A4" s="7" t="s">
        <v>100</v>
      </c>
      <c r="B4" s="15" t="s">
        <v>34</v>
      </c>
      <c r="D4" s="7" t="s">
        <v>234</v>
      </c>
      <c r="E4" s="8" t="s">
        <v>235</v>
      </c>
    </row>
    <row r="5" ht="42.0" customHeight="1">
      <c r="A5" s="7" t="s">
        <v>88</v>
      </c>
      <c r="B5" s="15" t="s">
        <v>236</v>
      </c>
      <c r="D5" s="7" t="s">
        <v>237</v>
      </c>
      <c r="E5" s="8" t="s">
        <v>238</v>
      </c>
    </row>
    <row r="6" ht="42.0" customHeight="1">
      <c r="A6" s="7" t="s">
        <v>239</v>
      </c>
      <c r="B6" s="15" t="s">
        <v>240</v>
      </c>
      <c r="D6" s="7" t="s">
        <v>241</v>
      </c>
      <c r="E6" s="8" t="s">
        <v>242</v>
      </c>
    </row>
    <row r="7" ht="42.0" customHeight="1">
      <c r="A7" s="7" t="s">
        <v>243</v>
      </c>
      <c r="B7" s="15" t="s">
        <v>244</v>
      </c>
      <c r="D7" s="7" t="s">
        <v>245</v>
      </c>
      <c r="E7" s="8" t="s">
        <v>246</v>
      </c>
    </row>
    <row r="8" ht="42.0" customHeight="1">
      <c r="A8" s="7" t="s">
        <v>247</v>
      </c>
      <c r="B8" s="28" t="s">
        <v>248</v>
      </c>
      <c r="D8" s="7" t="s">
        <v>249</v>
      </c>
      <c r="E8" s="8" t="s">
        <v>250</v>
      </c>
    </row>
    <row r="9" ht="73.5" customHeight="1">
      <c r="A9" s="7" t="s">
        <v>251</v>
      </c>
      <c r="B9" s="15" t="s">
        <v>252</v>
      </c>
    </row>
    <row r="10" ht="73.5" customHeight="1">
      <c r="A10" s="7" t="s">
        <v>253</v>
      </c>
      <c r="B10" s="15" t="s">
        <v>254</v>
      </c>
    </row>
    <row r="11" ht="73.5" customHeight="1">
      <c r="A11" s="7" t="s">
        <v>255</v>
      </c>
      <c r="B11" s="15" t="s">
        <v>256</v>
      </c>
    </row>
    <row r="12" ht="108.75" customHeight="1">
      <c r="A12" s="7" t="s">
        <v>257</v>
      </c>
      <c r="B12" s="15" t="s">
        <v>258</v>
      </c>
    </row>
    <row r="13" ht="73.5" customHeight="1">
      <c r="A13" s="7" t="s">
        <v>259</v>
      </c>
      <c r="B13" s="28" t="s">
        <v>260</v>
      </c>
    </row>
    <row r="14" ht="73.5" customHeight="1">
      <c r="A14" s="7" t="s">
        <v>261</v>
      </c>
      <c r="B14" s="28" t="s">
        <v>262</v>
      </c>
    </row>
    <row r="15" ht="73.5" customHeight="1">
      <c r="A15" s="7" t="s">
        <v>263</v>
      </c>
      <c r="B15" s="15" t="s">
        <v>231</v>
      </c>
    </row>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F1"/>
    <mergeCell ref="D3:F3"/>
  </mergeCells>
  <dataValidations>
    <dataValidation type="list" allowBlank="1" sqref="B4">
      <formula1>"Unit 1 / Phase 1,Phase 2,Phase 3,Final"</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2026-09-03T18:02:25Z</dcterms:created>
</cp:coreProperties>
</file>