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Project Overview" sheetId="2" r:id="rId6"/>
    <sheet state="visible" name="Design Progress" sheetId="3" r:id="rId7"/>
    <sheet state="visible" name="Individual Contributions" sheetId="4" r:id="rId8"/>
    <sheet state="visible" name="Design Source Links" sheetId="5" r:id="rId9"/>
    <sheet state="visible" name="Challenges &amp; Actions" sheetId="6" r:id="rId10"/>
    <sheet state="visible" name="Phase Summary" sheetId="7" r:id="rId11"/>
    <sheet state="visible" name="Group Reflection" sheetId="8" r:id="rId12"/>
  </sheets>
  <definedNames/>
  <calcPr/>
</workbook>
</file>

<file path=xl/sharedStrings.xml><?xml version="1.0" encoding="utf-8"?>
<sst xmlns="http://schemas.openxmlformats.org/spreadsheetml/2006/main" count="398" uniqueCount="219">
  <si>
    <t>ITC327W Phase 2 Project Progress Tracker</t>
  </si>
  <si>
    <t>Phase 2 Design Progress</t>
  </si>
  <si>
    <t>Phase 2 Individual Contributions</t>
  </si>
  <si>
    <t>Phase 2 Project Overview</t>
  </si>
  <si>
    <t>Use this workbook during Phase 2: System Architecture and Design. Update it throughout the phase and submit the same workbook with Assessment 2.</t>
  </si>
  <si>
    <t>Group</t>
  </si>
  <si>
    <t>Sheet</t>
  </si>
  <si>
    <t>Student Name</t>
  </si>
  <si>
    <t>Purpose</t>
  </si>
  <si>
    <t>Task ID</t>
  </si>
  <si>
    <t>Student Number</t>
  </si>
  <si>
    <t>What must be kept current</t>
  </si>
  <si>
    <t>Activity / Artefact</t>
  </si>
  <si>
    <t>Project Overview</t>
  </si>
  <si>
    <t>Design / Project Item</t>
  </si>
  <si>
    <t>Assigned Responsibility</t>
  </si>
  <si>
    <t>Group details and automatic progress summary</t>
  </si>
  <si>
    <t>Description / Expected Output</t>
  </si>
  <si>
    <t>Group information, GitHub link and current Phase 2 progress</t>
  </si>
  <si>
    <t>Work Personally Completed</t>
  </si>
  <si>
    <t>Design Progress</t>
  </si>
  <si>
    <t>Track each design artefact and supporting work</t>
  </si>
  <si>
    <t>C</t>
  </si>
  <si>
    <t>Responsible Student(s)</t>
  </si>
  <si>
    <t>Architecture, UML, ERD, mobile/web interfaces, SRS and project-management tasks</t>
  </si>
  <si>
    <t>Date Completed</t>
  </si>
  <si>
    <t>Individual Contributions</t>
  </si>
  <si>
    <t>Planned Date</t>
  </si>
  <si>
    <t>Record work personally completed by each student</t>
  </si>
  <si>
    <t>Hours Spent</t>
  </si>
  <si>
    <t>Activity, responsibility, work completed and evidence</t>
  </si>
  <si>
    <t>Design Source Links</t>
  </si>
  <si>
    <t>Record editable source links/files for submitted designs</t>
  </si>
  <si>
    <t>Evidence / Link</t>
  </si>
  <si>
    <t>Actual Completion Date</t>
  </si>
  <si>
    <t>Architecture, UML, ERD, mobile and web design sources</t>
  </si>
  <si>
    <t>Challenges &amp; Actions</t>
  </si>
  <si>
    <t>Verified by Group</t>
  </si>
  <si>
    <t>Phase 2 Progress Summary</t>
  </si>
  <si>
    <t>Status</t>
  </si>
  <si>
    <t>Record design/project challenges and corrective action</t>
  </si>
  <si>
    <t>Problem, effect, action, owner, target date and status</t>
  </si>
  <si>
    <t>Phase Summary</t>
  </si>
  <si>
    <t>Summarise what was achieved and what remains</t>
  </si>
  <si>
    <t>% Complete</t>
  </si>
  <si>
    <t>Phase status, completed work, gaps and next priorities</t>
  </si>
  <si>
    <t>Group Reflection</t>
  </si>
  <si>
    <t>One shared group reflection for Phase 2</t>
  </si>
  <si>
    <t>Participation, collaboration, challenges, learning and improvements</t>
  </si>
  <si>
    <t>Verification Date</t>
  </si>
  <si>
    <t>Project Title</t>
  </si>
  <si>
    <t>Notes / Action Required</t>
  </si>
  <si>
    <t>Quality / Review Notes</t>
  </si>
  <si>
    <t>Student Accommodation management system</t>
  </si>
  <si>
    <t>Important</t>
  </si>
  <si>
    <t>Contribution Status</t>
  </si>
  <si>
    <t>Total tracked items</t>
  </si>
  <si>
    <t>Do not create a separate tracker for each activity. This Phase 2 workbook is updated as the group progresses. Evidence may include GitHub commits, screenshots, document sections, editable design links/files and other appropriate project evidence. Do not include passwords, API keys or confidential stakeholder information.</t>
  </si>
  <si>
    <t xml:space="preserve">FB Amatebelle </t>
  </si>
  <si>
    <t>P2-01</t>
  </si>
  <si>
    <t>System Architecture</t>
  </si>
  <si>
    <t>3.2 &amp; 3.3</t>
  </si>
  <si>
    <t>Overall architecture showing Flutter, ASP.NET and shared Supabase backend</t>
  </si>
  <si>
    <t>Group leader</t>
  </si>
  <si>
    <t>GA Leeuw &amp; Tshitangano TD</t>
  </si>
  <si>
    <t>Contributed to the database design by helping develop the ERD for the Supabase database. Designed the Flutter mobile wireframes for the student screens in Figma. Updated the Software Requirements Specification with the Phase 2 system design content, and updated the Project Progress Tracker with current tasks, contributions and progress.</t>
  </si>
  <si>
    <t>https://github.com/Blutiger21/StayTrack_Group_C/tree/main/docs</t>
  </si>
  <si>
    <t>Completed</t>
  </si>
  <si>
    <t>P2-02</t>
  </si>
  <si>
    <t>Stakeholder / Organisation</t>
  </si>
  <si>
    <t>Use Case Diagram</t>
  </si>
  <si>
    <t>Actors, use cases, system boundary and appropriate UML relationships</t>
  </si>
  <si>
    <t>Mrs Gladys (Graceful plans)</t>
  </si>
  <si>
    <t>Amatebelle FB &amp; Mohapi MA</t>
  </si>
  <si>
    <t>P2-03</t>
  </si>
  <si>
    <t>Sequence Diagram 1</t>
  </si>
  <si>
    <t>Important Flutter process</t>
  </si>
  <si>
    <t>Gongxeka IQ, Seleke TM</t>
  </si>
  <si>
    <t>Yes</t>
  </si>
  <si>
    <t>P2-04</t>
  </si>
  <si>
    <t>Sequence Diagram 2</t>
  </si>
  <si>
    <t>Important ASP.NET process</t>
  </si>
  <si>
    <t>Molelekeng KP</t>
  </si>
  <si>
    <t>To design the Entity Relationship Diagram (ERD)</t>
  </si>
  <si>
    <t>Group Leader</t>
  </si>
  <si>
    <t>Fidelis Amatebelle</t>
  </si>
  <si>
    <t>P2-05</t>
  </si>
  <si>
    <t>In Progress</t>
  </si>
  <si>
    <t>ERD</t>
  </si>
  <si>
    <t>https://github.com/Blutiger21/StayTrack_Group_C/blob/main/docs/StayTrack%20database%20design%20.pdf</t>
  </si>
  <si>
    <t>Entities, attributes, PKs, FKs, relationships and cardinality</t>
  </si>
  <si>
    <t>Amatebelle FB &amp; Molelekeng KP</t>
  </si>
  <si>
    <t>P2-06</t>
  </si>
  <si>
    <t>Flutter Interface Designs</t>
  </si>
  <si>
    <t>Main mobile screens and navigation</t>
  </si>
  <si>
    <t>GA Leeuw &amp; Seleke TM</t>
  </si>
  <si>
    <t>P2-07</t>
  </si>
  <si>
    <t>ASP.NET Interface Designs</t>
  </si>
  <si>
    <t>Main web pages and navigation</t>
  </si>
  <si>
    <t>Gongxeka IQ &amp; Mohapi MA</t>
  </si>
  <si>
    <t>Number of Group Members</t>
  </si>
  <si>
    <t>Blocked</t>
  </si>
  <si>
    <t>P2-08</t>
  </si>
  <si>
    <t>Design Alignment</t>
  </si>
  <si>
    <t>Mohapi MA</t>
  </si>
  <si>
    <t>Requirements linked across UML, ERD and interfaces</t>
  </si>
  <si>
    <t>FB Amatebelle, Gongxeka IQ &amp; Mohapi MA</t>
  </si>
  <si>
    <t xml:space="preserve"> Use Case Diagram &amp;  ASP.NET Wireframes</t>
  </si>
  <si>
    <t>Collaborated with Fid on the Use Case Diagram for the Student Accommodation Payment &amp; Management System. Currently working with Inga on the ASP.NET wireframes for the management web application.</t>
  </si>
  <si>
    <t>P2-09</t>
  </si>
  <si>
    <t>Updated SRS</t>
  </si>
  <si>
    <t xml:space="preserve">GA Leeuw </t>
  </si>
  <si>
    <t>system Architecture</t>
  </si>
  <si>
    <t xml:space="preserve">designing the system architecture and documentation </t>
  </si>
  <si>
    <t>GitHub Repository Link</t>
  </si>
  <si>
    <t>https://github.com/Blutiger21/StayTrack_Group_C</t>
  </si>
  <si>
    <t>Tshitangano TD</t>
  </si>
  <si>
    <t>Phase 2 architecture and design section inserted in existing SRS</t>
  </si>
  <si>
    <t>No</t>
  </si>
  <si>
    <t>FB Amatebelle</t>
  </si>
  <si>
    <t>Not Started</t>
  </si>
  <si>
    <t>P2-10</t>
  </si>
  <si>
    <t>Microsoft Project</t>
  </si>
  <si>
    <t>Schedule updated to reflect design progress and upcoming development</t>
  </si>
  <si>
    <t>Average completion</t>
  </si>
  <si>
    <t>P2-11</t>
  </si>
  <si>
    <t>GitHub</t>
  </si>
  <si>
    <t>Current design documentation and repository organisation</t>
  </si>
  <si>
    <t>P2-12</t>
  </si>
  <si>
    <t>Phase 2 Presentation</t>
  </si>
  <si>
    <t>Presentation and defence preparation</t>
  </si>
  <si>
    <t>Reporting Period</t>
  </si>
  <si>
    <t>All Members</t>
  </si>
  <si>
    <t>Overall Phase Status</t>
  </si>
  <si>
    <t>Phase 2 Reminder</t>
  </si>
  <si>
    <t>Phase 2 focuses on system architecture and design. Track the design artefacts, the editable source links/files, individual contributions, challenges, Microsoft Project updates and GitHub evidence. No separate stakeholder-evidence section is required in this tracker.</t>
  </si>
  <si>
    <t>Phase 2 Original Design Source Links / Files</t>
  </si>
  <si>
    <t>Design Artefact</t>
  </si>
  <si>
    <t>Tool Used</t>
  </si>
  <si>
    <t>Editable Link / File Name</t>
  </si>
  <si>
    <t>Accessible to Lecturer?</t>
  </si>
  <si>
    <t>Last Updated</t>
  </si>
  <si>
    <t>Responsible Student</t>
  </si>
  <si>
    <t>Included in SRS?</t>
  </si>
  <si>
    <t>Notes</t>
  </si>
  <si>
    <t>Visily Ai &amp; Word</t>
  </si>
  <si>
    <t>link</t>
  </si>
  <si>
    <t>Visily Ai</t>
  </si>
  <si>
    <t xml:space="preserve">use case diagram </t>
  </si>
  <si>
    <t>lucid.app</t>
  </si>
  <si>
    <t>sequence diagram 1</t>
  </si>
  <si>
    <t>Gongxeka IQ &amp; Seleke TM</t>
  </si>
  <si>
    <t>sequence diagram 2</t>
  </si>
  <si>
    <t>dbdiagram.io</t>
  </si>
  <si>
    <t xml:space="preserve">Database link </t>
  </si>
  <si>
    <t>Figma</t>
  </si>
  <si>
    <t>Wireframe link</t>
  </si>
  <si>
    <t>Amatebelle FB</t>
  </si>
  <si>
    <t>Navigation Flow</t>
  </si>
  <si>
    <t>Phase 2 Challenges and Corrective Actions</t>
  </si>
  <si>
    <t>Date Identified</t>
  </si>
  <si>
    <t>Challenge</t>
  </si>
  <si>
    <t>Effect on Progress / Design</t>
  </si>
  <si>
    <t>Corrective Action</t>
  </si>
  <si>
    <t>Target Date</t>
  </si>
  <si>
    <t>Resolved Date</t>
  </si>
  <si>
    <t>The group's first GitHub repository was created under an organisation, which the lecturers said was not the correct setup. The member responsible was asked to delete it and set up the correct one, but this was not done in time</t>
  </si>
  <si>
    <t>There was no correct repository to hold the Flutter and ASP.NET project files or the design documentation. The assessment requires a working repository link that shows current documentation and group activity, so the delay put that requirement at risk and delayed members from pushing their work.</t>
  </si>
  <si>
    <t>The Group leader created the new repository, pushed the Flutter and ASP.NET project files, and created a docs folder where every member can push their own work. Going forward, every member pushes their own work to the repository so that each person's contributions show in the activity history</t>
  </si>
  <si>
    <t>The ERD was assigned to a pair, but the work was not progressing as days passed. One member was not completing their part, which left their partner unable to continue.</t>
  </si>
  <si>
    <t>The ERD is the foundation for the sequence diagrams, wireframes and the interface-to-database alignment check, so the delay put those tasks at risk. It also reduced the time left for review before the Phase 2 deadline.</t>
  </si>
  <si>
    <t>The group leader stepped in and worked with the remaining partner to complete the ERD. Going forward, the group will do a check-in at the halfway point of each task, so a stalled task is noticed and reassigned early.</t>
  </si>
  <si>
    <t>The Flutter wireframes were assigned to a pair. One member was unavailable because of damaged devices and other commitments, and the work split was not agreed with their partner.</t>
  </si>
  <si>
    <t>The wireframes could not start on time, which delayed stakeholder feedback and the design-alignment checks and shortened the time before the Phase 2 submission.</t>
  </si>
  <si>
    <t>The group leader completed the Flutter wireframes, and the partner was reassigned to the ASP.NET wireframes group so their time was still used. Pairs will now agree on how the work is split at the start of each task, and any member who is unavailable should tell the group early so the task can be reassigned.</t>
  </si>
  <si>
    <t>GA Leeuw</t>
  </si>
  <si>
    <t>19 September 2026 – 12 October 2026</t>
  </si>
  <si>
    <t>Phase 2 Completion Checklist</t>
  </si>
  <si>
    <t>Complete?</t>
  </si>
  <si>
    <t>Architecture complete</t>
  </si>
  <si>
    <t>Phase 2 Group Reflection</t>
  </si>
  <si>
    <t>What was completed during Phase 2?</t>
  </si>
  <si>
    <t>The system architecture diagram and explanation, the use case diagram, the sequence diagrams, the ERD for the Supabase database, and the Flutter and ASP.NET wireframes. The SRS was updated with a new System Architecture and Design section, including the design-alignment table and links to the original design files. The GitHub repository was recreated with the Flutter and ASP.NET project files and a docs folder for the group's work, and the Microsoft Project schedule and progress tracker were updated.</t>
  </si>
  <si>
    <t>Use Case Diagram complete</t>
  </si>
  <si>
    <t>What remains incomplete?</t>
  </si>
  <si>
    <t>Final proofreading and compilation of the updated SRS, applying any remaining stakeholder feedback on the designs, completing every member's contribution evidence in the tracker, and rehearsing the Phase 2 presentation so that every member can explain every part of the design.</t>
  </si>
  <si>
    <t>1. What did the group complete successfully during Phase 2?</t>
  </si>
  <si>
    <t>Two Sequence Diagrams complete</t>
  </si>
  <si>
    <t>Why is it incomplete?</t>
  </si>
  <si>
    <t>These items depend on the design artefacts being finished first. Several design tasks also ran later than planned because some paired tasks stalled, so the final review and rehearsal were left until the end of the phase.</t>
  </si>
  <si>
    <t>ERD complete</t>
  </si>
  <si>
    <t>The group completed the system architecture diagram and explanation, the use case and sequence diagrams, the ERD for the Supabase database, and the Flutter and ASP.NET wireframes. We also updated the SRS with the new System Architecture and Design section, recreated the GitHub repository with the Flutter and ASP.NET project files and a docs folder, and updated the Microsoft Project schedule and progress tracker.</t>
  </si>
  <si>
    <t>Which contributions were particularly important?</t>
  </si>
  <si>
    <t>The ERD and the architecture were the most important, because the use cases, sequence diagrams, wireframes and the alignment check all depend on them. Completing the Flutter wireframes, recreating the GitHub repository with the project files and docs folder, and updating the SRS and tracker were also key, as they let the rest of the group submit their work on time.</t>
  </si>
  <si>
    <t>Flutter interfaces complete</t>
  </si>
  <si>
    <t>Were there participation concerns?</t>
  </si>
  <si>
    <t>Yes. Some paired tasks, such as the ERD and the Flutter wireframes, stalled because a member was unavailable or slow to start, and the GitHub repository correction was delayed. Each case was raised and handled by reassigning work or stepping in to complete it, and each is recorded in the Challenges &amp; Actions sheet. All Phase 2 deliverables were still completed.</t>
  </si>
  <si>
    <t>ASP.NET interfaces complete</t>
  </si>
  <si>
    <t>What will the group improve in Phase 3?</t>
  </si>
  <si>
    <t>We will check progress at the halfway point of each task so stalled work is noticed and reassigned early, and agree how each pair splits its work at the start. Every member will use branches and pull requests so their contributions show in GitHub. The tracker and Microsoft Project will be updated weekly instead of at the end of the phase.</t>
  </si>
  <si>
    <t>2. Which architecture or design activities were the most challenging?</t>
  </si>
  <si>
    <t>Editable source links/files recorded</t>
  </si>
  <si>
    <t>Main priority for Phase 3</t>
  </si>
  <si>
    <t>Set up the Supabase backend first (the tables from the ERD, OTP authentication, storage buckets and access rules), then build and integrate the Must Have features across Flutter and ASP.NET, starting with the payment and maintenance flows. The Phase 3 presentations are the week of 2–6 November, so development has to start straight after the Phase 2 presentations.</t>
  </si>
  <si>
    <t>SRS updated</t>
  </si>
  <si>
    <t>The ERD and the architecture were the most challenging, because every other design depends on them. Getting the keys, relationships and cardinalities right took several revisions, and we had to make sure fields such as the payment reference matched what the stakeholder asked for. Keeping every artefact consistent after we added the technician role, file storage and proof-of-payment upload was also difficult, because each addition affected the architecture, use cases, ERD and wireframes.</t>
  </si>
  <si>
    <t>Microsoft Project updated</t>
  </si>
  <si>
    <t>GitHub current</t>
  </si>
  <si>
    <t>Individual contributions recorded</t>
  </si>
  <si>
    <t>Challenges/actions updated</t>
  </si>
  <si>
    <t>Group reflection completed</t>
  </si>
  <si>
    <t>3. How did the group ensure that Flutter, ASP.NET and Supabase were designed as one integrated system?</t>
  </si>
  <si>
    <t>We designed all three around one shared Supabase backend. The architecture shows both apps connecting to the same Authentication, Database and Storage services, and the ERD was built from the information that both sets of interfaces capture and display. We checked each requirement against the use cases, sequence diagrams, ERD and wireframes, and traced flows such as a proof of payment uploaded in Flutter, verified in ASP.NET and shown back to the student in Flutter.</t>
  </si>
  <si>
    <t>4. How was work divided among group members, and was participation balanced?</t>
  </si>
  <si>
    <t>Work was divided into pairs for each artefact, so two members could explain each part. Participation was not fully balanced. Some paired tasks stalled because a member was unavailable or slow to start, so the Group leader stepped in on the ERD and the Flutter wireframes and recreated the GitHub repository, and one member was reassigned to the ASP.NET wireframes. All the work was completed, but the load fell unevenly, and the contribution records show who did what.</t>
  </si>
  <si>
    <t>5. What did the group learn from developing the UML, ERD and interface designs?</t>
  </si>
  <si>
    <t>Designing before coding forces the group to think the system through. The use cases showed what each role must be able to do, the sequence diagrams showed the order of messages between the apps and Supabase, and the ERD showed which data must be stored. We learned that artefacts must stay consistent, for example table names and status values, that a field should only exist if a requirement needs it, and that wireframes expose missing data early</t>
  </si>
  <si>
    <t>6. What will the group do differently during development in Phase 3?</t>
  </si>
  <si>
    <t>We will check progress at the halfway point of each task, so stalled work is noticed and reassigned early, and agree the work split with each pair at the start. Every member will use branches and pull requests, so contributions show in GitHub. We will set up Supabase (tables, OTP and storage) first, since the other work depends on it. We will update the tracker and Microsoft Project weekly, and keep rehearsing so every member can explain every part of the system.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</si>
</sst>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8">
    <font>
      <sz val="11.0"/>
      <color rgb="FF000000"/>
      <name val="Carlito"/>
      <scheme val="minor"/>
    </font>
    <font>
      <b/>
      <sz val="15.0"/>
      <color rgb="FFFFFFFF"/>
      <name val="Carlito"/>
    </font>
    <font>
      <sz val="11.0"/>
      <color theme="1"/>
      <name val="Carlito"/>
    </font>
    <font>
      <b/>
      <sz val="11.0"/>
      <color rgb="FFFFFFFF"/>
      <name val="Carlito"/>
    </font>
    <font>
      <b/>
      <sz val="11.0"/>
      <color theme="1"/>
      <name val="Carlito"/>
    </font>
    <font>
      <u/>
      <sz val="11.0"/>
      <color rgb="FF0000FF"/>
      <name val="Carlito"/>
    </font>
    <font>
      <color theme="1"/>
      <name val="Carlito"/>
      <scheme val="minor"/>
    </font>
    <font>
      <color rgb="FF000000"/>
      <name val="Carlito"/>
      <scheme val="minor"/>
    </font>
  </fonts>
  <fills count="7">
    <fill>
      <patternFill patternType="none"/>
    </fill>
    <fill>
      <patternFill patternType="lightGray"/>
    </fill>
    <fill>
      <patternFill patternType="solid">
        <fgColor rgb="FF17365D"/>
        <bgColor rgb="FF17365D"/>
      </patternFill>
    </fill>
    <fill>
      <patternFill patternType="solid">
        <fgColor rgb="FFF3F6FA"/>
        <bgColor rgb="FFF3F6FA"/>
      </patternFill>
    </fill>
    <fill>
      <patternFill patternType="solid">
        <fgColor rgb="FFD9EAF7"/>
        <bgColor rgb="FFD9EAF7"/>
      </patternFill>
    </fill>
    <fill>
      <patternFill patternType="solid">
        <fgColor rgb="FFFFF2CC"/>
        <bgColor rgb="FFFFF2CC"/>
      </patternFill>
    </fill>
    <fill>
      <patternFill patternType="solid">
        <fgColor rgb="FFE2F0D9"/>
        <bgColor rgb="FFE2F0D9"/>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Alignment="1" applyFill="1" applyFont="1">
      <alignment shrinkToFit="0" wrapText="1"/>
    </xf>
    <xf borderId="0" fillId="2" fontId="3" numFmtId="0" xfId="0" applyAlignment="1" applyFill="1" applyFont="1">
      <alignment horizontal="center" shrinkToFit="0" vertical="center" wrapText="1"/>
    </xf>
    <xf borderId="0" fillId="4" fontId="4" numFmtId="0" xfId="0" applyAlignment="1" applyFill="1" applyFont="1">
      <alignment shrinkToFit="0" wrapText="1"/>
    </xf>
    <xf borderId="0" fillId="0" fontId="2" numFmtId="0" xfId="0" applyAlignment="1" applyFont="1">
      <alignment shrinkToFit="0" wrapText="1"/>
    </xf>
    <xf borderId="0" fillId="5" fontId="2" numFmtId="0" xfId="0" applyAlignment="1" applyFill="1" applyFont="1">
      <alignment readingOrder="0" shrinkToFit="0" vertical="top" wrapText="1"/>
    </xf>
    <xf borderId="0" fillId="2" fontId="3" numFmtId="0" xfId="0" applyAlignment="1" applyFill="1" applyFont="1">
      <alignment horizontal="center"/>
    </xf>
    <xf borderId="0" fillId="2" fontId="3" numFmtId="0" xfId="0" applyFill="1" applyFont="1"/>
    <xf borderId="0" fillId="4" fontId="4" numFmtId="0" xfId="0" applyFill="1" applyFont="1"/>
    <xf borderId="0" fillId="3" fontId="2" numFmtId="0" xfId="0" applyAlignment="1" applyFill="1" applyFont="1">
      <alignment shrinkToFit="0" vertical="top" wrapText="1"/>
    </xf>
    <xf borderId="0" fillId="5" fontId="2" numFmtId="164" xfId="0" applyAlignment="1" applyFill="1" applyFont="1" applyNumberFormat="1">
      <alignment readingOrder="0" shrinkToFit="0" vertical="top" wrapText="1"/>
    </xf>
    <xf borderId="0" fillId="5" fontId="2" numFmtId="0" xfId="0" applyAlignment="1" applyFill="1" applyFont="1">
      <alignment shrinkToFit="0" vertical="top" wrapText="1"/>
    </xf>
    <xf borderId="0" fillId="5" fontId="2" numFmtId="165" xfId="0" applyAlignment="1" applyFill="1" applyFont="1" applyNumberFormat="1">
      <alignment readingOrder="0" shrinkToFit="0" vertical="top" wrapText="1"/>
    </xf>
    <xf borderId="0" fillId="5" fontId="2" numFmtId="9" xfId="0" applyAlignment="1" applyFill="1" applyFont="1" applyNumberFormat="1">
      <alignment readingOrder="0" shrinkToFit="0" vertical="top" wrapText="1"/>
    </xf>
    <xf borderId="0" fillId="6" fontId="4" numFmtId="0" xfId="0" applyAlignment="1" applyFill="1" applyFont="1">
      <alignment horizontal="center"/>
    </xf>
    <xf borderId="0" fillId="5" fontId="5" numFmtId="0" xfId="0" applyAlignment="1" applyFill="1" applyFont="1">
      <alignment readingOrder="0" shrinkToFit="0" vertical="top" wrapText="1"/>
    </xf>
    <xf borderId="0" fillId="6" fontId="4" numFmtId="9" xfId="0" applyAlignment="1" applyFill="1" applyFont="1" applyNumberFormat="1">
      <alignment horizontal="center"/>
    </xf>
    <xf borderId="0" fillId="5" fontId="2" numFmtId="9" xfId="0" applyAlignment="1" applyFill="1" applyFont="1" applyNumberFormat="1">
      <alignment shrinkToFit="0" vertical="top" wrapText="1"/>
    </xf>
    <xf borderId="0" fillId="0" fontId="6" numFmtId="0" xfId="0" applyFont="1"/>
    <xf borderId="0" fillId="5" fontId="7" numFmtId="0" xfId="0" applyAlignment="1" applyFill="1" applyFont="1">
      <alignment readingOrder="0"/>
    </xf>
    <xf borderId="0" fillId="5" fontId="4" numFmtId="0" xfId="0" applyAlignment="1" applyFill="1" applyFont="1">
      <alignment readingOrder="0" shrinkToFit="0" vertical="top" wrapText="1"/>
    </xf>
    <xf borderId="0" fillId="4" fontId="4" numFmtId="0" xfId="0" applyAlignment="1" applyFill="1" applyFont="1">
      <alignment shrinkToFit="0" vertical="top" wrapText="1"/>
    </xf>
  </cellXfs>
  <cellStyles count="1">
    <cellStyle xfId="0" name="Normal" builtinId="0"/>
  </cellStyles>
  <dxfs count="2">
    <dxf>
      <font/>
      <fill>
        <patternFill patternType="solid">
          <fgColor rgb="FFE2F0D9"/>
          <bgColor rgb="FFE2F0D9"/>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Blutiger21/StayTrack_Group_C"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Blutiger21/StayTrack_Group_C/tree/main/docs" TargetMode="External"/><Relationship Id="rId2" Type="http://schemas.openxmlformats.org/officeDocument/2006/relationships/hyperlink" Target="https://github.com/Blutiger21/StayTrack_Group_C/blob/main/docs/StayTrack%20database%20design%20.pdf"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pp.visily.ai/projects/804572bc-45c0-4463-b081-f33579077346/boards/2725620" TargetMode="External"/><Relationship Id="rId2" Type="http://schemas.openxmlformats.org/officeDocument/2006/relationships/hyperlink" Target="https://github.com/Blutiger21/StayTrack_Group_C/blob/main/docs/StayTrack%20use-case%20Diagram.pdf" TargetMode="External"/><Relationship Id="rId3" Type="http://schemas.openxmlformats.org/officeDocument/2006/relationships/hyperlink" Target="https://github.com/Blutiger21/StayTrack_Group_C/blob/main/docs/StayTrack%20Sequence%20Diagram%20final%20.pdf" TargetMode="External"/><Relationship Id="rId4" Type="http://schemas.openxmlformats.org/officeDocument/2006/relationships/hyperlink" Target="https://github.com/Blutiger21/StayTrack_Group_C/blob/main/docs/StayTrack%20Sequence%20Diagram%20final%20.pdf" TargetMode="External"/><Relationship Id="rId5" Type="http://schemas.openxmlformats.org/officeDocument/2006/relationships/hyperlink" Target="https://github.com/Blutiger21/StayTrack_Group_C/blob/main/docs/StayTrack%20database%20design%20.pdf" TargetMode="External"/><Relationship Id="rId6" Type="http://schemas.openxmlformats.org/officeDocument/2006/relationships/hyperlink" Target="https://www.figma.com/design/ZgzFL6uGxwDidhhLmC2S1a/StayTrack-mobile?node-id=0-1&amp;t=TvLmRSxSdPj8W2Eu-1" TargetMode="External"/><Relationship Id="rId7" Type="http://schemas.openxmlformats.org/officeDocument/2006/relationships/hyperlink" Target="https://www.figma.com/design/1IZQg969kEtYL3LUZ6GYXy/StayTrack?node-id=0-1&amp;t=C8G3hkvd5DWfU9Dc-1"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0"/>
    <col customWidth="1" min="2" max="2" width="38.0"/>
    <col customWidth="1" min="3" max="3" width="52.0"/>
    <col customWidth="1" min="4" max="6" width="14.0"/>
    <col customWidth="1" min="7" max="26" width="8.63"/>
  </cols>
  <sheetData>
    <row r="1" ht="33.75" customHeight="1">
      <c r="A1" s="1" t="s">
        <v>0</v>
      </c>
    </row>
    <row r="2" ht="33.75" customHeight="1">
      <c r="A2" s="2" t="s">
        <v>4</v>
      </c>
    </row>
    <row r="4" ht="30.0" customHeight="1">
      <c r="A4" s="3" t="s">
        <v>6</v>
      </c>
      <c r="B4" s="3" t="s">
        <v>8</v>
      </c>
      <c r="C4" s="3" t="s">
        <v>11</v>
      </c>
    </row>
    <row r="5" ht="39.75" customHeight="1">
      <c r="A5" s="5" t="s">
        <v>13</v>
      </c>
      <c r="B5" s="5" t="s">
        <v>16</v>
      </c>
      <c r="C5" s="5" t="s">
        <v>18</v>
      </c>
    </row>
    <row r="6" ht="39.75" customHeight="1">
      <c r="A6" s="5" t="s">
        <v>20</v>
      </c>
      <c r="B6" s="5" t="s">
        <v>21</v>
      </c>
      <c r="C6" s="5" t="s">
        <v>24</v>
      </c>
    </row>
    <row r="7" ht="39.75" customHeight="1">
      <c r="A7" s="5" t="s">
        <v>26</v>
      </c>
      <c r="B7" s="5" t="s">
        <v>28</v>
      </c>
      <c r="C7" s="5" t="s">
        <v>30</v>
      </c>
    </row>
    <row r="8" ht="39.75" customHeight="1">
      <c r="A8" s="5" t="s">
        <v>31</v>
      </c>
      <c r="B8" s="5" t="s">
        <v>32</v>
      </c>
      <c r="C8" s="5" t="s">
        <v>35</v>
      </c>
    </row>
    <row r="9" ht="39.75" customHeight="1">
      <c r="A9" s="5" t="s">
        <v>36</v>
      </c>
      <c r="B9" s="5" t="s">
        <v>40</v>
      </c>
      <c r="C9" s="5" t="s">
        <v>41</v>
      </c>
    </row>
    <row r="10" ht="39.75" customHeight="1">
      <c r="A10" s="5" t="s">
        <v>42</v>
      </c>
      <c r="B10" s="5" t="s">
        <v>43</v>
      </c>
      <c r="C10" s="5" t="s">
        <v>45</v>
      </c>
    </row>
    <row r="11" ht="39.75" customHeight="1">
      <c r="A11" s="5" t="s">
        <v>46</v>
      </c>
      <c r="B11" s="5" t="s">
        <v>47</v>
      </c>
      <c r="C11" s="5" t="s">
        <v>48</v>
      </c>
    </row>
    <row r="13">
      <c r="A13" s="8" t="s">
        <v>54</v>
      </c>
    </row>
    <row r="14">
      <c r="A14" s="10" t="s">
        <v>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A13:F13"/>
    <mergeCell ref="A14:F1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38.0"/>
    <col customWidth="1" min="3" max="3" width="4.0"/>
    <col customWidth="1" min="4" max="4" width="25.0"/>
    <col customWidth="1" min="5" max="5" width="18.0"/>
    <col customWidth="1" min="6" max="8" width="16.0"/>
    <col customWidth="1" min="9" max="26" width="8.63"/>
  </cols>
  <sheetData>
    <row r="1" ht="33.75" customHeight="1">
      <c r="A1" s="1" t="s">
        <v>3</v>
      </c>
    </row>
    <row r="3">
      <c r="A3" s="4" t="s">
        <v>5</v>
      </c>
      <c r="B3" s="6" t="s">
        <v>22</v>
      </c>
      <c r="D3" s="7" t="s">
        <v>38</v>
      </c>
    </row>
    <row r="4">
      <c r="A4" s="4" t="s">
        <v>50</v>
      </c>
      <c r="B4" s="6" t="s">
        <v>53</v>
      </c>
      <c r="D4" s="9" t="s">
        <v>56</v>
      </c>
      <c r="E4" s="15">
        <f>COUNTA('Design Progress'!A4:A33)</f>
        <v>12</v>
      </c>
    </row>
    <row r="5">
      <c r="A5" s="4" t="s">
        <v>69</v>
      </c>
      <c r="B5" s="6" t="s">
        <v>72</v>
      </c>
      <c r="D5" s="9" t="s">
        <v>67</v>
      </c>
      <c r="E5" s="15">
        <f>COUNTIF('Design Progress'!G4:G33,"Completed")</f>
        <v>11</v>
      </c>
    </row>
    <row r="6">
      <c r="A6" s="4" t="s">
        <v>84</v>
      </c>
      <c r="B6" s="6" t="s">
        <v>85</v>
      </c>
      <c r="D6" s="9" t="s">
        <v>87</v>
      </c>
      <c r="E6" s="15">
        <f>COUNTIF('Design Progress'!G4:G33,"In Progress")</f>
        <v>1</v>
      </c>
    </row>
    <row r="7">
      <c r="A7" s="4" t="s">
        <v>100</v>
      </c>
      <c r="B7" s="6">
        <v>7.0</v>
      </c>
      <c r="D7" s="9" t="s">
        <v>101</v>
      </c>
      <c r="E7" s="15">
        <f>COUNTIF('Design Progress'!G4:G33,"Blocked")</f>
        <v>0</v>
      </c>
    </row>
    <row r="8">
      <c r="A8" s="4" t="s">
        <v>114</v>
      </c>
      <c r="B8" s="16" t="s">
        <v>115</v>
      </c>
      <c r="D8" s="9" t="s">
        <v>124</v>
      </c>
      <c r="E8" s="17">
        <f>IFERROR(AVERAGE('Design Progress'!H4:H33),0)</f>
        <v>1</v>
      </c>
    </row>
    <row r="9">
      <c r="A9" s="4" t="s">
        <v>131</v>
      </c>
      <c r="B9" s="13">
        <v>46304.0</v>
      </c>
    </row>
    <row r="10">
      <c r="A10" s="4" t="s">
        <v>133</v>
      </c>
      <c r="B10" s="6" t="s">
        <v>67</v>
      </c>
      <c r="D10" s="8" t="s">
        <v>134</v>
      </c>
    </row>
    <row r="11">
      <c r="D11" s="10" t="s">
        <v>135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H1"/>
    <mergeCell ref="D3:H3"/>
    <mergeCell ref="D10:H10"/>
    <mergeCell ref="D11:H15"/>
  </mergeCells>
  <dataValidations>
    <dataValidation type="list" allowBlank="1" sqref="B10">
      <formula1>"Not Started,In Progress,Completed,Blocked"</formula1>
    </dataValidation>
  </dataValidations>
  <hyperlinks>
    <hyperlink r:id="rId1" ref="B8"/>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26.0"/>
    <col customWidth="1" min="3" max="3" width="44.0"/>
    <col customWidth="1" min="4" max="4" width="25.0"/>
    <col customWidth="1" min="5" max="7" width="15.0"/>
    <col customWidth="1" min="8" max="8" width="12.0"/>
    <col customWidth="1" min="9" max="10" width="34.0"/>
    <col customWidth="1" min="11" max="26" width="8.63"/>
  </cols>
  <sheetData>
    <row r="1" ht="33.75" customHeight="1">
      <c r="A1" s="1" t="s">
        <v>1</v>
      </c>
    </row>
    <row r="3" ht="30.0" customHeight="1">
      <c r="A3" s="3" t="s">
        <v>9</v>
      </c>
      <c r="B3" s="3" t="s">
        <v>14</v>
      </c>
      <c r="C3" s="3" t="s">
        <v>17</v>
      </c>
      <c r="D3" s="3" t="s">
        <v>23</v>
      </c>
      <c r="E3" s="3" t="s">
        <v>27</v>
      </c>
      <c r="F3" s="3" t="s">
        <v>34</v>
      </c>
      <c r="G3" s="3" t="s">
        <v>39</v>
      </c>
      <c r="H3" s="3" t="s">
        <v>44</v>
      </c>
      <c r="I3" s="3" t="s">
        <v>33</v>
      </c>
      <c r="J3" s="3" t="s">
        <v>51</v>
      </c>
    </row>
    <row r="4">
      <c r="A4" s="5" t="s">
        <v>59</v>
      </c>
      <c r="B4" s="5" t="s">
        <v>60</v>
      </c>
      <c r="C4" s="5" t="s">
        <v>62</v>
      </c>
      <c r="D4" s="6" t="s">
        <v>64</v>
      </c>
      <c r="E4" s="13">
        <v>46283.0</v>
      </c>
      <c r="F4" s="13">
        <v>46288.0</v>
      </c>
      <c r="G4" s="6" t="s">
        <v>67</v>
      </c>
      <c r="H4" s="14">
        <v>1.0</v>
      </c>
      <c r="I4" s="12"/>
      <c r="J4" s="12"/>
    </row>
    <row r="5">
      <c r="A5" s="5" t="s">
        <v>68</v>
      </c>
      <c r="B5" s="5" t="s">
        <v>70</v>
      </c>
      <c r="C5" s="5" t="s">
        <v>71</v>
      </c>
      <c r="D5" s="6" t="s">
        <v>73</v>
      </c>
      <c r="E5" s="13">
        <v>46283.0</v>
      </c>
      <c r="F5" s="13">
        <v>46288.0</v>
      </c>
      <c r="G5" s="6" t="s">
        <v>67</v>
      </c>
      <c r="H5" s="14">
        <v>1.0</v>
      </c>
      <c r="I5" s="12"/>
      <c r="J5" s="12"/>
    </row>
    <row r="6">
      <c r="A6" s="5" t="s">
        <v>74</v>
      </c>
      <c r="B6" s="5" t="s">
        <v>75</v>
      </c>
      <c r="C6" s="5" t="s">
        <v>76</v>
      </c>
      <c r="D6" s="6" t="s">
        <v>77</v>
      </c>
      <c r="E6" s="13">
        <v>46289.0</v>
      </c>
      <c r="F6" s="13">
        <v>46294.0</v>
      </c>
      <c r="G6" s="6" t="s">
        <v>67</v>
      </c>
      <c r="H6" s="14">
        <v>1.0</v>
      </c>
      <c r="I6" s="12"/>
      <c r="J6" s="12"/>
    </row>
    <row r="7">
      <c r="A7" s="5" t="s">
        <v>79</v>
      </c>
      <c r="B7" s="5" t="s">
        <v>80</v>
      </c>
      <c r="C7" s="5" t="s">
        <v>81</v>
      </c>
      <c r="D7" s="6" t="s">
        <v>77</v>
      </c>
      <c r="E7" s="13">
        <v>46289.0</v>
      </c>
      <c r="F7" s="13">
        <v>46294.0</v>
      </c>
      <c r="G7" s="6" t="s">
        <v>67</v>
      </c>
      <c r="H7" s="14">
        <v>1.0</v>
      </c>
      <c r="I7" s="12"/>
      <c r="J7" s="12"/>
    </row>
    <row r="8">
      <c r="A8" s="5" t="s">
        <v>86</v>
      </c>
      <c r="B8" s="5" t="s">
        <v>88</v>
      </c>
      <c r="C8" s="5" t="s">
        <v>90</v>
      </c>
      <c r="D8" s="6" t="s">
        <v>91</v>
      </c>
      <c r="E8" s="13">
        <v>46289.0</v>
      </c>
      <c r="F8" s="13">
        <v>46295.0</v>
      </c>
      <c r="G8" s="6" t="s">
        <v>67</v>
      </c>
      <c r="H8" s="14">
        <v>1.0</v>
      </c>
      <c r="I8" s="12"/>
      <c r="J8" s="12"/>
    </row>
    <row r="9">
      <c r="A9" s="5" t="s">
        <v>92</v>
      </c>
      <c r="B9" s="5" t="s">
        <v>93</v>
      </c>
      <c r="C9" s="5" t="s">
        <v>94</v>
      </c>
      <c r="D9" s="6" t="s">
        <v>95</v>
      </c>
      <c r="E9" s="13">
        <v>46296.0</v>
      </c>
      <c r="F9" s="13">
        <v>46300.0</v>
      </c>
      <c r="G9" s="6" t="s">
        <v>67</v>
      </c>
      <c r="H9" s="14">
        <v>1.0</v>
      </c>
      <c r="I9" s="12"/>
      <c r="J9" s="12"/>
    </row>
    <row r="10">
      <c r="A10" s="5" t="s">
        <v>96</v>
      </c>
      <c r="B10" s="5" t="s">
        <v>97</v>
      </c>
      <c r="C10" s="5" t="s">
        <v>98</v>
      </c>
      <c r="D10" s="6" t="s">
        <v>99</v>
      </c>
      <c r="E10" s="13">
        <v>46296.0</v>
      </c>
      <c r="F10" s="13">
        <v>46301.0</v>
      </c>
      <c r="G10" s="6" t="s">
        <v>67</v>
      </c>
      <c r="H10" s="14">
        <v>1.0</v>
      </c>
      <c r="I10" s="12"/>
      <c r="J10" s="12"/>
    </row>
    <row r="11">
      <c r="A11" s="5" t="s">
        <v>102</v>
      </c>
      <c r="B11" s="5" t="s">
        <v>103</v>
      </c>
      <c r="C11" s="5" t="s">
        <v>105</v>
      </c>
      <c r="D11" s="6" t="s">
        <v>106</v>
      </c>
      <c r="E11" s="13">
        <v>46300.0</v>
      </c>
      <c r="F11" s="13">
        <v>46300.0</v>
      </c>
      <c r="G11" s="6" t="s">
        <v>67</v>
      </c>
      <c r="H11" s="14">
        <v>1.0</v>
      </c>
      <c r="I11" s="12"/>
      <c r="J11" s="12"/>
    </row>
    <row r="12">
      <c r="A12" s="5" t="s">
        <v>109</v>
      </c>
      <c r="B12" s="5" t="s">
        <v>110</v>
      </c>
      <c r="C12" s="5" t="s">
        <v>117</v>
      </c>
      <c r="D12" s="6" t="s">
        <v>119</v>
      </c>
      <c r="E12" s="11">
        <v>46305.0</v>
      </c>
      <c r="F12" s="11">
        <v>46305.0</v>
      </c>
      <c r="G12" s="6" t="s">
        <v>67</v>
      </c>
      <c r="H12" s="14">
        <v>1.0</v>
      </c>
      <c r="I12" s="12"/>
      <c r="J12" s="12"/>
    </row>
    <row r="13">
      <c r="A13" s="5" t="s">
        <v>121</v>
      </c>
      <c r="B13" s="5" t="s">
        <v>122</v>
      </c>
      <c r="C13" s="5" t="s">
        <v>123</v>
      </c>
      <c r="D13" s="6" t="s">
        <v>119</v>
      </c>
      <c r="E13" s="13">
        <v>46300.0</v>
      </c>
      <c r="F13" s="11">
        <v>46305.0</v>
      </c>
      <c r="G13" s="6" t="s">
        <v>67</v>
      </c>
      <c r="H13" s="14">
        <v>1.0</v>
      </c>
      <c r="I13" s="12"/>
      <c r="J13" s="12"/>
    </row>
    <row r="14">
      <c r="A14" s="5" t="s">
        <v>125</v>
      </c>
      <c r="B14" s="5" t="s">
        <v>126</v>
      </c>
      <c r="C14" s="5" t="s">
        <v>127</v>
      </c>
      <c r="D14" s="6" t="s">
        <v>119</v>
      </c>
      <c r="E14" s="11">
        <v>46305.0</v>
      </c>
      <c r="F14" s="11">
        <v>46305.0</v>
      </c>
      <c r="G14" s="6" t="s">
        <v>67</v>
      </c>
      <c r="H14" s="14">
        <v>1.0</v>
      </c>
      <c r="I14" s="12"/>
      <c r="J14" s="12"/>
    </row>
    <row r="15">
      <c r="A15" s="5" t="s">
        <v>128</v>
      </c>
      <c r="B15" s="5" t="s">
        <v>129</v>
      </c>
      <c r="C15" s="5" t="s">
        <v>130</v>
      </c>
      <c r="D15" s="6" t="s">
        <v>132</v>
      </c>
      <c r="E15" s="11">
        <v>46306.0</v>
      </c>
      <c r="F15" s="11">
        <v>46306.0</v>
      </c>
      <c r="G15" s="6" t="s">
        <v>87</v>
      </c>
      <c r="H15" s="18"/>
      <c r="I15" s="12"/>
      <c r="J15" s="12"/>
    </row>
    <row r="16">
      <c r="A16" s="5"/>
      <c r="B16" s="5"/>
      <c r="C16" s="5"/>
      <c r="D16" s="12"/>
      <c r="E16" s="12"/>
      <c r="F16" s="12"/>
      <c r="G16" s="12"/>
      <c r="H16" s="18"/>
      <c r="I16" s="12"/>
      <c r="J16" s="12"/>
    </row>
    <row r="17">
      <c r="A17" s="5"/>
      <c r="B17" s="5"/>
      <c r="C17" s="5"/>
      <c r="D17" s="12"/>
      <c r="E17" s="12"/>
      <c r="F17" s="12"/>
      <c r="G17" s="12"/>
      <c r="H17" s="18"/>
      <c r="I17" s="12"/>
      <c r="J17" s="12"/>
    </row>
    <row r="18">
      <c r="A18" s="5"/>
      <c r="B18" s="5"/>
      <c r="C18" s="5"/>
      <c r="D18" s="12"/>
      <c r="E18" s="12"/>
      <c r="F18" s="12"/>
      <c r="G18" s="12"/>
      <c r="H18" s="18"/>
      <c r="I18" s="12"/>
      <c r="J18" s="12"/>
    </row>
    <row r="19">
      <c r="A19" s="5"/>
      <c r="B19" s="5"/>
      <c r="C19" s="5"/>
      <c r="D19" s="12"/>
      <c r="E19" s="12"/>
      <c r="F19" s="12"/>
      <c r="G19" s="12"/>
      <c r="H19" s="18"/>
      <c r="I19" s="12"/>
      <c r="J19" s="12"/>
    </row>
    <row r="20">
      <c r="A20" s="5"/>
      <c r="B20" s="5"/>
      <c r="C20" s="5"/>
      <c r="D20" s="12"/>
      <c r="E20" s="12"/>
      <c r="F20" s="12"/>
      <c r="G20" s="12"/>
      <c r="H20" s="18"/>
      <c r="I20" s="12"/>
      <c r="J20" s="12"/>
    </row>
    <row r="21" ht="15.75" customHeight="1">
      <c r="A21" s="5"/>
      <c r="B21" s="5"/>
      <c r="C21" s="5"/>
      <c r="D21" s="12"/>
      <c r="E21" s="12"/>
      <c r="F21" s="12"/>
      <c r="G21" s="12"/>
      <c r="H21" s="18"/>
      <c r="I21" s="12"/>
      <c r="J21" s="12"/>
    </row>
    <row r="22" ht="15.75" customHeight="1">
      <c r="A22" s="5"/>
      <c r="B22" s="5"/>
      <c r="C22" s="5"/>
      <c r="D22" s="12"/>
      <c r="E22" s="12"/>
      <c r="F22" s="12"/>
      <c r="G22" s="12"/>
      <c r="H22" s="18"/>
      <c r="I22" s="12"/>
      <c r="J22" s="12"/>
    </row>
    <row r="23" ht="15.75" customHeight="1">
      <c r="A23" s="5"/>
      <c r="B23" s="5"/>
      <c r="C23" s="5"/>
      <c r="D23" s="12"/>
      <c r="E23" s="12"/>
      <c r="F23" s="12"/>
      <c r="G23" s="12"/>
      <c r="H23" s="18"/>
      <c r="I23" s="12"/>
      <c r="J23" s="12"/>
    </row>
    <row r="24" ht="15.75" customHeight="1">
      <c r="A24" s="5"/>
      <c r="B24" s="5"/>
      <c r="C24" s="5"/>
      <c r="D24" s="12"/>
      <c r="E24" s="12"/>
      <c r="F24" s="12"/>
      <c r="G24" s="12"/>
      <c r="H24" s="18"/>
      <c r="I24" s="12"/>
      <c r="J24" s="12"/>
    </row>
    <row r="25" ht="15.75" customHeight="1">
      <c r="A25" s="5"/>
      <c r="B25" s="5"/>
      <c r="C25" s="5"/>
      <c r="D25" s="12"/>
      <c r="E25" s="12"/>
      <c r="F25" s="12"/>
      <c r="G25" s="12"/>
      <c r="H25" s="18"/>
      <c r="I25" s="12"/>
      <c r="J25" s="12"/>
    </row>
    <row r="26" ht="15.75" customHeight="1">
      <c r="A26" s="5"/>
      <c r="B26" s="5"/>
      <c r="C26" s="5"/>
      <c r="D26" s="12"/>
      <c r="E26" s="12"/>
      <c r="F26" s="12"/>
      <c r="G26" s="12"/>
      <c r="H26" s="18"/>
      <c r="I26" s="12"/>
      <c r="J26" s="12"/>
    </row>
    <row r="27" ht="15.75" customHeight="1">
      <c r="A27" s="5"/>
      <c r="B27" s="5"/>
      <c r="C27" s="5"/>
      <c r="D27" s="12"/>
      <c r="E27" s="12"/>
      <c r="F27" s="12"/>
      <c r="G27" s="12"/>
      <c r="H27" s="18"/>
      <c r="I27" s="12"/>
      <c r="J27" s="12"/>
    </row>
    <row r="28" ht="15.75" customHeight="1">
      <c r="A28" s="5"/>
      <c r="B28" s="5"/>
      <c r="C28" s="5"/>
      <c r="D28" s="12"/>
      <c r="E28" s="12"/>
      <c r="F28" s="12"/>
      <c r="G28" s="12"/>
      <c r="H28" s="18"/>
      <c r="I28" s="12"/>
      <c r="J28" s="12"/>
    </row>
    <row r="29" ht="15.75" customHeight="1">
      <c r="A29" s="5"/>
      <c r="B29" s="5"/>
      <c r="C29" s="5"/>
      <c r="D29" s="12"/>
      <c r="E29" s="12"/>
      <c r="F29" s="12"/>
      <c r="G29" s="12"/>
      <c r="H29" s="18"/>
      <c r="I29" s="12"/>
      <c r="J29" s="12"/>
    </row>
    <row r="30" ht="15.75" customHeight="1">
      <c r="A30" s="5"/>
      <c r="B30" s="5"/>
      <c r="C30" s="5"/>
      <c r="D30" s="12"/>
      <c r="E30" s="12"/>
      <c r="F30" s="12"/>
      <c r="G30" s="12"/>
      <c r="H30" s="18"/>
      <c r="I30" s="12"/>
      <c r="J30" s="12"/>
    </row>
    <row r="31" ht="15.75" customHeight="1">
      <c r="A31" s="5"/>
      <c r="B31" s="5"/>
      <c r="C31" s="5"/>
      <c r="D31" s="12"/>
      <c r="E31" s="12"/>
      <c r="F31" s="12"/>
      <c r="G31" s="12"/>
      <c r="H31" s="18"/>
      <c r="I31" s="12"/>
      <c r="J31" s="12"/>
    </row>
    <row r="32" ht="15.75" customHeight="1">
      <c r="A32" s="5"/>
      <c r="B32" s="5"/>
      <c r="C32" s="5"/>
      <c r="D32" s="12"/>
      <c r="E32" s="12"/>
      <c r="F32" s="12"/>
      <c r="G32" s="12"/>
      <c r="H32" s="18"/>
      <c r="I32" s="12"/>
      <c r="J32" s="12"/>
    </row>
    <row r="33" ht="15.75" customHeight="1">
      <c r="A33" s="5"/>
      <c r="B33" s="5"/>
      <c r="C33" s="5"/>
      <c r="D33" s="12"/>
      <c r="E33" s="12"/>
      <c r="F33" s="12"/>
      <c r="G33" s="12"/>
      <c r="H33" s="18"/>
      <c r="I33" s="12"/>
      <c r="J33" s="1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conditionalFormatting sqref="G4:G33">
    <cfRule type="expression" dxfId="0" priority="1">
      <formula>G4="Completed"</formula>
    </cfRule>
  </conditionalFormatting>
  <conditionalFormatting sqref="G4:G33">
    <cfRule type="expression" dxfId="1" priority="2">
      <formula>G4="Blocked"</formula>
    </cfRule>
  </conditionalFormatting>
  <dataValidations>
    <dataValidation type="list" allowBlank="1" sqref="G4:G33">
      <formula1>"Not Started,In Progress,Completed,Blocked"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6.0"/>
    <col customWidth="1" min="3" max="3" width="24.0"/>
    <col customWidth="1" min="4" max="4" width="28.0"/>
    <col customWidth="1" min="5" max="5" width="40.0"/>
    <col customWidth="1" min="6" max="6" width="15.0"/>
    <col customWidth="1" min="7" max="7" width="12.0"/>
    <col customWidth="1" min="8" max="8" width="34.0"/>
    <col customWidth="1" min="9" max="10" width="15.0"/>
    <col customWidth="1" min="11" max="11" width="34.0"/>
    <col customWidth="1" min="12" max="12" width="16.0"/>
    <col customWidth="1" min="13" max="26" width="8.63"/>
  </cols>
  <sheetData>
    <row r="1" ht="33.75" customHeight="1">
      <c r="A1" s="1" t="s">
        <v>2</v>
      </c>
    </row>
    <row r="3" ht="30.0" customHeight="1">
      <c r="A3" s="3" t="s">
        <v>7</v>
      </c>
      <c r="B3" s="3" t="s">
        <v>10</v>
      </c>
      <c r="C3" s="3" t="s">
        <v>12</v>
      </c>
      <c r="D3" s="3" t="s">
        <v>15</v>
      </c>
      <c r="E3" s="3" t="s">
        <v>19</v>
      </c>
      <c r="F3" s="3" t="s">
        <v>25</v>
      </c>
      <c r="G3" s="3" t="s">
        <v>29</v>
      </c>
      <c r="H3" s="3" t="s">
        <v>33</v>
      </c>
      <c r="I3" s="3" t="s">
        <v>37</v>
      </c>
      <c r="J3" s="3" t="s">
        <v>49</v>
      </c>
      <c r="K3" s="3" t="s">
        <v>52</v>
      </c>
      <c r="L3" s="3" t="s">
        <v>55</v>
      </c>
    </row>
    <row r="4">
      <c r="A4" s="6" t="s">
        <v>58</v>
      </c>
      <c r="B4" s="6">
        <v>2.23040545E8</v>
      </c>
      <c r="C4" s="6" t="s">
        <v>61</v>
      </c>
      <c r="D4" s="6" t="s">
        <v>63</v>
      </c>
      <c r="E4" s="6" t="s">
        <v>65</v>
      </c>
      <c r="F4" s="11">
        <v>46305.0</v>
      </c>
      <c r="G4" s="12"/>
      <c r="H4" s="16" t="s">
        <v>66</v>
      </c>
      <c r="I4" s="6" t="s">
        <v>78</v>
      </c>
      <c r="J4" s="11">
        <v>46305.0</v>
      </c>
      <c r="K4" s="12"/>
      <c r="L4" s="6" t="s">
        <v>67</v>
      </c>
    </row>
    <row r="5">
      <c r="A5" s="6" t="s">
        <v>82</v>
      </c>
      <c r="B5" s="6">
        <v>2.24020157E8</v>
      </c>
      <c r="C5" s="6">
        <v>3.1</v>
      </c>
      <c r="D5" s="6" t="s">
        <v>83</v>
      </c>
      <c r="E5" s="12"/>
      <c r="F5" s="13">
        <v>46303.0</v>
      </c>
      <c r="G5" s="12"/>
      <c r="H5" s="16" t="s">
        <v>89</v>
      </c>
      <c r="I5" s="6" t="s">
        <v>78</v>
      </c>
      <c r="J5" s="11">
        <v>46305.0</v>
      </c>
      <c r="K5" s="12"/>
      <c r="L5" s="6" t="s">
        <v>67</v>
      </c>
    </row>
    <row r="6">
      <c r="A6" s="6" t="s">
        <v>104</v>
      </c>
      <c r="B6" s="6">
        <v>2.22070281E8</v>
      </c>
      <c r="C6" s="6">
        <v>3.3</v>
      </c>
      <c r="D6" s="6" t="s">
        <v>107</v>
      </c>
      <c r="E6" s="6" t="s">
        <v>108</v>
      </c>
      <c r="F6" s="13">
        <v>46288.0</v>
      </c>
      <c r="G6" s="12"/>
      <c r="H6" s="12"/>
      <c r="I6" s="6" t="s">
        <v>78</v>
      </c>
      <c r="J6" s="11">
        <v>46305.0</v>
      </c>
      <c r="K6" s="12"/>
      <c r="L6" s="6" t="s">
        <v>67</v>
      </c>
    </row>
    <row r="7">
      <c r="A7" s="6" t="s">
        <v>111</v>
      </c>
      <c r="B7" s="6">
        <v>2.21026798E8</v>
      </c>
      <c r="C7" s="6">
        <v>3.1</v>
      </c>
      <c r="D7" s="6" t="s">
        <v>112</v>
      </c>
      <c r="E7" s="6" t="s">
        <v>113</v>
      </c>
      <c r="F7" s="13">
        <v>46293.0</v>
      </c>
      <c r="G7" s="12"/>
      <c r="H7" s="12"/>
      <c r="I7" s="6" t="s">
        <v>78</v>
      </c>
      <c r="J7" s="11">
        <v>46305.0</v>
      </c>
      <c r="K7" s="12"/>
      <c r="L7" s="6" t="s">
        <v>67</v>
      </c>
    </row>
    <row r="8">
      <c r="A8" s="6" t="s">
        <v>116</v>
      </c>
      <c r="B8" s="12"/>
      <c r="C8" s="6">
        <v>3.1</v>
      </c>
      <c r="D8" s="6" t="s">
        <v>112</v>
      </c>
      <c r="E8" s="6" t="s">
        <v>113</v>
      </c>
      <c r="F8" s="13">
        <v>46294.0</v>
      </c>
      <c r="G8" s="12"/>
      <c r="H8" s="12"/>
      <c r="I8" s="6" t="s">
        <v>78</v>
      </c>
      <c r="J8" s="11">
        <v>46305.0</v>
      </c>
      <c r="K8" s="12"/>
      <c r="L8" s="6" t="s">
        <v>67</v>
      </c>
    </row>
    <row r="9">
      <c r="A9" s="12"/>
      <c r="B9" s="12"/>
      <c r="C9" s="12"/>
      <c r="D9" s="12"/>
      <c r="E9" s="12"/>
      <c r="F9" s="12"/>
      <c r="G9" s="12"/>
      <c r="H9" s="12"/>
      <c r="I9" s="12" t="s">
        <v>118</v>
      </c>
      <c r="J9" s="12"/>
      <c r="K9" s="12"/>
      <c r="L9" s="12" t="s">
        <v>120</v>
      </c>
    </row>
    <row r="10">
      <c r="A10" s="12"/>
      <c r="B10" s="12"/>
      <c r="C10" s="12"/>
      <c r="D10" s="12"/>
      <c r="E10" s="12"/>
      <c r="F10" s="12"/>
      <c r="G10" s="12"/>
      <c r="H10" s="12"/>
      <c r="I10" s="12" t="s">
        <v>118</v>
      </c>
      <c r="J10" s="12"/>
      <c r="K10" s="12"/>
      <c r="L10" s="12" t="s">
        <v>120</v>
      </c>
    </row>
    <row r="11">
      <c r="A11" s="12"/>
      <c r="B11" s="12"/>
      <c r="C11" s="12"/>
      <c r="D11" s="12"/>
      <c r="E11" s="12"/>
      <c r="F11" s="12"/>
      <c r="G11" s="12"/>
      <c r="H11" s="12"/>
      <c r="I11" s="12" t="s">
        <v>118</v>
      </c>
      <c r="J11" s="12"/>
      <c r="K11" s="12"/>
      <c r="L11" s="12" t="s">
        <v>120</v>
      </c>
    </row>
    <row r="12">
      <c r="A12" s="12"/>
      <c r="B12" s="12"/>
      <c r="C12" s="12"/>
      <c r="D12" s="12"/>
      <c r="E12" s="12"/>
      <c r="F12" s="12"/>
      <c r="G12" s="12"/>
      <c r="H12" s="12"/>
      <c r="I12" s="12" t="s">
        <v>118</v>
      </c>
      <c r="J12" s="12"/>
      <c r="K12" s="12"/>
      <c r="L12" s="12" t="s">
        <v>120</v>
      </c>
    </row>
    <row r="13">
      <c r="A13" s="12"/>
      <c r="B13" s="12"/>
      <c r="C13" s="12"/>
      <c r="D13" s="12"/>
      <c r="E13" s="12"/>
      <c r="F13" s="12"/>
      <c r="G13" s="12"/>
      <c r="H13" s="12"/>
      <c r="I13" s="12" t="s">
        <v>118</v>
      </c>
      <c r="J13" s="12"/>
      <c r="K13" s="12"/>
      <c r="L13" s="12" t="s">
        <v>120</v>
      </c>
    </row>
    <row r="14">
      <c r="A14" s="12"/>
      <c r="B14" s="12"/>
      <c r="C14" s="12"/>
      <c r="D14" s="12"/>
      <c r="E14" s="12"/>
      <c r="F14" s="12"/>
      <c r="G14" s="12"/>
      <c r="H14" s="12"/>
      <c r="I14" s="12" t="s">
        <v>118</v>
      </c>
      <c r="J14" s="12"/>
      <c r="K14" s="12"/>
      <c r="L14" s="12" t="s">
        <v>120</v>
      </c>
    </row>
    <row r="15">
      <c r="A15" s="12"/>
      <c r="B15" s="12"/>
      <c r="C15" s="12"/>
      <c r="D15" s="12"/>
      <c r="E15" s="12"/>
      <c r="F15" s="12"/>
      <c r="G15" s="12"/>
      <c r="H15" s="12"/>
      <c r="I15" s="12" t="s">
        <v>118</v>
      </c>
      <c r="J15" s="12"/>
      <c r="K15" s="12"/>
      <c r="L15" s="12" t="s">
        <v>120</v>
      </c>
    </row>
    <row r="16">
      <c r="A16" s="12"/>
      <c r="B16" s="12"/>
      <c r="C16" s="12"/>
      <c r="D16" s="12"/>
      <c r="E16" s="12"/>
      <c r="F16" s="12"/>
      <c r="G16" s="12"/>
      <c r="H16" s="12"/>
      <c r="I16" s="12" t="s">
        <v>118</v>
      </c>
      <c r="J16" s="12"/>
      <c r="K16" s="12"/>
      <c r="L16" s="12" t="s">
        <v>120</v>
      </c>
    </row>
    <row r="17">
      <c r="A17" s="12"/>
      <c r="B17" s="12"/>
      <c r="C17" s="12"/>
      <c r="D17" s="12"/>
      <c r="E17" s="12"/>
      <c r="F17" s="12"/>
      <c r="G17" s="12"/>
      <c r="H17" s="12"/>
      <c r="I17" s="12" t="s">
        <v>118</v>
      </c>
      <c r="J17" s="12"/>
      <c r="K17" s="12"/>
      <c r="L17" s="12" t="s">
        <v>120</v>
      </c>
    </row>
    <row r="18">
      <c r="A18" s="12"/>
      <c r="B18" s="12"/>
      <c r="C18" s="12"/>
      <c r="D18" s="12"/>
      <c r="E18" s="12"/>
      <c r="F18" s="12"/>
      <c r="G18" s="12"/>
      <c r="H18" s="12"/>
      <c r="I18" s="12" t="s">
        <v>118</v>
      </c>
      <c r="J18" s="12"/>
      <c r="K18" s="12"/>
      <c r="L18" s="12" t="s">
        <v>120</v>
      </c>
    </row>
    <row r="19">
      <c r="A19" s="12"/>
      <c r="B19" s="12"/>
      <c r="C19" s="12"/>
      <c r="D19" s="12"/>
      <c r="E19" s="12"/>
      <c r="F19" s="12"/>
      <c r="G19" s="12"/>
      <c r="H19" s="12"/>
      <c r="I19" s="12" t="s">
        <v>118</v>
      </c>
      <c r="J19" s="12"/>
      <c r="K19" s="12"/>
      <c r="L19" s="12" t="s">
        <v>120</v>
      </c>
    </row>
    <row r="20">
      <c r="A20" s="12"/>
      <c r="B20" s="12"/>
      <c r="C20" s="12"/>
      <c r="D20" s="12"/>
      <c r="E20" s="12"/>
      <c r="F20" s="12"/>
      <c r="G20" s="12"/>
      <c r="H20" s="12"/>
      <c r="I20" s="12" t="s">
        <v>118</v>
      </c>
      <c r="J20" s="12"/>
      <c r="K20" s="12"/>
      <c r="L20" s="12" t="s">
        <v>120</v>
      </c>
    </row>
    <row r="21" ht="15.75" customHeight="1">
      <c r="A21" s="12"/>
      <c r="B21" s="12"/>
      <c r="C21" s="12"/>
      <c r="D21" s="12"/>
      <c r="E21" s="12"/>
      <c r="F21" s="12"/>
      <c r="G21" s="12"/>
      <c r="H21" s="12"/>
      <c r="I21" s="12" t="s">
        <v>118</v>
      </c>
      <c r="J21" s="12"/>
      <c r="K21" s="12"/>
      <c r="L21" s="12" t="s">
        <v>120</v>
      </c>
    </row>
    <row r="22" ht="15.75" customHeight="1">
      <c r="A22" s="12"/>
      <c r="B22" s="12"/>
      <c r="C22" s="12"/>
      <c r="D22" s="12"/>
      <c r="E22" s="12"/>
      <c r="F22" s="12"/>
      <c r="G22" s="12"/>
      <c r="H22" s="12"/>
      <c r="I22" s="12" t="s">
        <v>118</v>
      </c>
      <c r="J22" s="12"/>
      <c r="K22" s="12"/>
      <c r="L22" s="12" t="s">
        <v>120</v>
      </c>
    </row>
    <row r="23" ht="15.75" customHeight="1">
      <c r="A23" s="12"/>
      <c r="B23" s="12"/>
      <c r="C23" s="12"/>
      <c r="D23" s="12"/>
      <c r="E23" s="12"/>
      <c r="F23" s="12"/>
      <c r="G23" s="12"/>
      <c r="H23" s="12"/>
      <c r="I23" s="12" t="s">
        <v>118</v>
      </c>
      <c r="J23" s="12"/>
      <c r="K23" s="12"/>
      <c r="L23" s="12" t="s">
        <v>120</v>
      </c>
    </row>
    <row r="24" ht="15.75" customHeight="1">
      <c r="A24" s="12"/>
      <c r="B24" s="12"/>
      <c r="C24" s="12"/>
      <c r="D24" s="12"/>
      <c r="E24" s="12"/>
      <c r="F24" s="12"/>
      <c r="G24" s="12"/>
      <c r="H24" s="12"/>
      <c r="I24" s="12" t="s">
        <v>118</v>
      </c>
      <c r="J24" s="12"/>
      <c r="K24" s="12"/>
      <c r="L24" s="12" t="s">
        <v>120</v>
      </c>
    </row>
    <row r="25" ht="15.75" customHeight="1">
      <c r="A25" s="12"/>
      <c r="B25" s="12"/>
      <c r="C25" s="12"/>
      <c r="D25" s="12"/>
      <c r="E25" s="12"/>
      <c r="F25" s="12"/>
      <c r="G25" s="12"/>
      <c r="H25" s="12"/>
      <c r="I25" s="12" t="s">
        <v>118</v>
      </c>
      <c r="J25" s="12"/>
      <c r="K25" s="12"/>
      <c r="L25" s="12" t="s">
        <v>120</v>
      </c>
    </row>
    <row r="26" ht="15.75" customHeight="1">
      <c r="A26" s="12"/>
      <c r="B26" s="12"/>
      <c r="C26" s="12"/>
      <c r="D26" s="12"/>
      <c r="E26" s="12"/>
      <c r="F26" s="12"/>
      <c r="G26" s="12"/>
      <c r="H26" s="12"/>
      <c r="I26" s="12" t="s">
        <v>118</v>
      </c>
      <c r="J26" s="12"/>
      <c r="K26" s="12"/>
      <c r="L26" s="12" t="s">
        <v>120</v>
      </c>
    </row>
    <row r="27" ht="15.75" customHeight="1">
      <c r="A27" s="12"/>
      <c r="B27" s="12"/>
      <c r="C27" s="12"/>
      <c r="D27" s="12"/>
      <c r="E27" s="12"/>
      <c r="F27" s="12"/>
      <c r="G27" s="12"/>
      <c r="H27" s="12"/>
      <c r="I27" s="12" t="s">
        <v>118</v>
      </c>
      <c r="J27" s="12"/>
      <c r="K27" s="12"/>
      <c r="L27" s="12" t="s">
        <v>120</v>
      </c>
    </row>
    <row r="28" ht="15.75" customHeight="1">
      <c r="A28" s="12"/>
      <c r="B28" s="12"/>
      <c r="C28" s="12"/>
      <c r="D28" s="12"/>
      <c r="E28" s="12"/>
      <c r="F28" s="12"/>
      <c r="G28" s="12"/>
      <c r="H28" s="12"/>
      <c r="I28" s="12" t="s">
        <v>118</v>
      </c>
      <c r="J28" s="12"/>
      <c r="K28" s="12"/>
      <c r="L28" s="12" t="s">
        <v>120</v>
      </c>
    </row>
    <row r="29" ht="15.75" customHeight="1">
      <c r="A29" s="12"/>
      <c r="B29" s="12"/>
      <c r="C29" s="12"/>
      <c r="D29" s="12"/>
      <c r="E29" s="12"/>
      <c r="F29" s="12"/>
      <c r="G29" s="12"/>
      <c r="H29" s="12"/>
      <c r="I29" s="12" t="s">
        <v>118</v>
      </c>
      <c r="J29" s="12"/>
      <c r="K29" s="12"/>
      <c r="L29" s="12" t="s">
        <v>120</v>
      </c>
    </row>
    <row r="30" ht="15.75" customHeight="1">
      <c r="A30" s="12"/>
      <c r="B30" s="12"/>
      <c r="C30" s="12"/>
      <c r="D30" s="12"/>
      <c r="E30" s="12"/>
      <c r="F30" s="12"/>
      <c r="G30" s="12"/>
      <c r="H30" s="12"/>
      <c r="I30" s="12" t="s">
        <v>118</v>
      </c>
      <c r="J30" s="12"/>
      <c r="K30" s="12"/>
      <c r="L30" s="12" t="s">
        <v>120</v>
      </c>
    </row>
    <row r="31" ht="15.75" customHeight="1">
      <c r="A31" s="12"/>
      <c r="B31" s="12"/>
      <c r="C31" s="12"/>
      <c r="D31" s="12"/>
      <c r="E31" s="12"/>
      <c r="F31" s="12"/>
      <c r="G31" s="12"/>
      <c r="H31" s="12"/>
      <c r="I31" s="12" t="s">
        <v>118</v>
      </c>
      <c r="J31" s="12"/>
      <c r="K31" s="12"/>
      <c r="L31" s="12" t="s">
        <v>120</v>
      </c>
    </row>
    <row r="32" ht="15.75" customHeight="1">
      <c r="A32" s="12"/>
      <c r="B32" s="12"/>
      <c r="C32" s="12"/>
      <c r="D32" s="12"/>
      <c r="E32" s="12"/>
      <c r="F32" s="12"/>
      <c r="G32" s="12"/>
      <c r="H32" s="12"/>
      <c r="I32" s="12" t="s">
        <v>118</v>
      </c>
      <c r="J32" s="12"/>
      <c r="K32" s="12"/>
      <c r="L32" s="12" t="s">
        <v>120</v>
      </c>
    </row>
    <row r="33" ht="15.75" customHeight="1">
      <c r="A33" s="12"/>
      <c r="B33" s="12"/>
      <c r="C33" s="12"/>
      <c r="D33" s="12"/>
      <c r="E33" s="12"/>
      <c r="F33" s="12"/>
      <c r="G33" s="12"/>
      <c r="H33" s="12"/>
      <c r="I33" s="12" t="s">
        <v>118</v>
      </c>
      <c r="J33" s="12"/>
      <c r="K33" s="12"/>
      <c r="L33" s="12" t="s">
        <v>120</v>
      </c>
    </row>
    <row r="34" ht="15.75" customHeight="1">
      <c r="A34" s="12"/>
      <c r="B34" s="12"/>
      <c r="C34" s="12"/>
      <c r="D34" s="12"/>
      <c r="E34" s="12"/>
      <c r="F34" s="12"/>
      <c r="G34" s="12"/>
      <c r="H34" s="12"/>
      <c r="I34" s="12" t="s">
        <v>118</v>
      </c>
      <c r="J34" s="12"/>
      <c r="K34" s="12"/>
      <c r="L34" s="12" t="s">
        <v>120</v>
      </c>
    </row>
    <row r="35" ht="15.75" customHeight="1">
      <c r="A35" s="12"/>
      <c r="B35" s="12"/>
      <c r="C35" s="12"/>
      <c r="D35" s="12"/>
      <c r="E35" s="12"/>
      <c r="F35" s="12"/>
      <c r="G35" s="12"/>
      <c r="H35" s="12"/>
      <c r="I35" s="12" t="s">
        <v>118</v>
      </c>
      <c r="J35" s="12"/>
      <c r="K35" s="12"/>
      <c r="L35" s="12" t="s">
        <v>120</v>
      </c>
    </row>
    <row r="36" ht="15.75" customHeight="1">
      <c r="A36" s="12"/>
      <c r="B36" s="12"/>
      <c r="C36" s="12"/>
      <c r="D36" s="12"/>
      <c r="E36" s="12"/>
      <c r="F36" s="12"/>
      <c r="G36" s="12"/>
      <c r="H36" s="12"/>
      <c r="I36" s="12" t="s">
        <v>118</v>
      </c>
      <c r="J36" s="12"/>
      <c r="K36" s="12"/>
      <c r="L36" s="12" t="s">
        <v>120</v>
      </c>
    </row>
    <row r="37" ht="15.75" customHeight="1">
      <c r="A37" s="12"/>
      <c r="B37" s="12"/>
      <c r="C37" s="12"/>
      <c r="D37" s="12"/>
      <c r="E37" s="12"/>
      <c r="F37" s="12"/>
      <c r="G37" s="12"/>
      <c r="H37" s="12"/>
      <c r="I37" s="12" t="s">
        <v>118</v>
      </c>
      <c r="J37" s="12"/>
      <c r="K37" s="12"/>
      <c r="L37" s="12" t="s">
        <v>120</v>
      </c>
    </row>
    <row r="38" ht="15.75" customHeight="1">
      <c r="A38" s="12"/>
      <c r="B38" s="12"/>
      <c r="C38" s="12"/>
      <c r="D38" s="12"/>
      <c r="E38" s="12"/>
      <c r="F38" s="12"/>
      <c r="G38" s="12"/>
      <c r="H38" s="12"/>
      <c r="I38" s="12" t="s">
        <v>118</v>
      </c>
      <c r="J38" s="12"/>
      <c r="K38" s="12"/>
      <c r="L38" s="12" t="s">
        <v>120</v>
      </c>
    </row>
    <row r="39" ht="15.75" customHeight="1">
      <c r="A39" s="12"/>
      <c r="B39" s="12"/>
      <c r="C39" s="12"/>
      <c r="D39" s="12"/>
      <c r="E39" s="12"/>
      <c r="F39" s="12"/>
      <c r="G39" s="12"/>
      <c r="H39" s="12"/>
      <c r="I39" s="12" t="s">
        <v>118</v>
      </c>
      <c r="J39" s="12"/>
      <c r="K39" s="12"/>
      <c r="L39" s="12" t="s">
        <v>120</v>
      </c>
    </row>
    <row r="40" ht="15.75" customHeight="1">
      <c r="A40" s="12"/>
      <c r="B40" s="12"/>
      <c r="C40" s="12"/>
      <c r="D40" s="12"/>
      <c r="E40" s="12"/>
      <c r="F40" s="12"/>
      <c r="G40" s="12"/>
      <c r="H40" s="12"/>
      <c r="I40" s="12" t="s">
        <v>118</v>
      </c>
      <c r="J40" s="12"/>
      <c r="K40" s="12"/>
      <c r="L40" s="12" t="s">
        <v>120</v>
      </c>
    </row>
    <row r="41" ht="15.75" customHeight="1">
      <c r="A41" s="12"/>
      <c r="B41" s="12"/>
      <c r="C41" s="12"/>
      <c r="D41" s="12"/>
      <c r="E41" s="12"/>
      <c r="F41" s="12"/>
      <c r="G41" s="12"/>
      <c r="H41" s="12"/>
      <c r="I41" s="12" t="s">
        <v>118</v>
      </c>
      <c r="J41" s="12"/>
      <c r="K41" s="12"/>
      <c r="L41" s="12" t="s">
        <v>120</v>
      </c>
    </row>
    <row r="42" ht="15.75" customHeight="1">
      <c r="A42" s="12"/>
      <c r="B42" s="12"/>
      <c r="C42" s="12"/>
      <c r="D42" s="12"/>
      <c r="E42" s="12"/>
      <c r="F42" s="12"/>
      <c r="G42" s="12"/>
      <c r="H42" s="12"/>
      <c r="I42" s="12" t="s">
        <v>118</v>
      </c>
      <c r="J42" s="12"/>
      <c r="K42" s="12"/>
      <c r="L42" s="12" t="s">
        <v>120</v>
      </c>
    </row>
    <row r="43" ht="15.75" customHeight="1">
      <c r="A43" s="12"/>
      <c r="B43" s="12"/>
      <c r="C43" s="12"/>
      <c r="D43" s="12"/>
      <c r="E43" s="12"/>
      <c r="F43" s="12"/>
      <c r="G43" s="12"/>
      <c r="H43" s="12"/>
      <c r="I43" s="12" t="s">
        <v>118</v>
      </c>
      <c r="J43" s="12"/>
      <c r="K43" s="12"/>
      <c r="L43" s="12" t="s">
        <v>120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conditionalFormatting sqref="L4:L43">
    <cfRule type="expression" dxfId="0" priority="1">
      <formula>L4="Completed"</formula>
    </cfRule>
  </conditionalFormatting>
  <dataValidations>
    <dataValidation type="list" allowBlank="1" sqref="L4:L43">
      <formula1>"Not Started,In Progress,Completed,Blocked"</formula1>
    </dataValidation>
    <dataValidation type="list" allowBlank="1" sqref="I4:I43">
      <formula1>"Yes,No"</formula1>
    </dataValidation>
  </dataValidations>
  <hyperlinks>
    <hyperlink r:id="rId1" ref="H4"/>
    <hyperlink r:id="rId2" ref="H5"/>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20.0"/>
    <col customWidth="1" min="3" max="3" width="44.0"/>
    <col customWidth="1" min="4" max="4" width="20.0"/>
    <col customWidth="1" min="5" max="5" width="15.0"/>
    <col customWidth="1" min="6" max="6" width="23.0"/>
    <col customWidth="1" min="7" max="7" width="16.0"/>
    <col customWidth="1" min="8" max="8" width="34.0"/>
    <col customWidth="1" min="9" max="26" width="8.63"/>
  </cols>
  <sheetData>
    <row r="1" ht="33.75" customHeight="1">
      <c r="A1" s="1" t="s">
        <v>136</v>
      </c>
    </row>
    <row r="3" ht="30.0" customHeight="1">
      <c r="A3" s="3" t="s">
        <v>137</v>
      </c>
      <c r="B3" s="3" t="s">
        <v>138</v>
      </c>
      <c r="C3" s="3" t="s">
        <v>139</v>
      </c>
      <c r="D3" s="3" t="s">
        <v>140</v>
      </c>
      <c r="E3" s="3" t="s">
        <v>141</v>
      </c>
      <c r="F3" s="3" t="s">
        <v>142</v>
      </c>
      <c r="G3" s="3" t="s">
        <v>143</v>
      </c>
      <c r="H3" s="3" t="s">
        <v>144</v>
      </c>
    </row>
    <row r="4">
      <c r="A4" s="19" t="s">
        <v>60</v>
      </c>
      <c r="B4" s="6" t="s">
        <v>145</v>
      </c>
      <c r="C4" s="16" t="s">
        <v>146</v>
      </c>
      <c r="D4" s="6" t="s">
        <v>78</v>
      </c>
      <c r="E4" s="12"/>
      <c r="F4" s="6" t="s">
        <v>64</v>
      </c>
      <c r="G4" s="6" t="s">
        <v>78</v>
      </c>
      <c r="H4" s="12"/>
    </row>
    <row r="5">
      <c r="A5" s="19" t="s">
        <v>70</v>
      </c>
      <c r="B5" s="6" t="s">
        <v>147</v>
      </c>
      <c r="C5" s="16" t="s">
        <v>148</v>
      </c>
      <c r="D5" s="6" t="s">
        <v>78</v>
      </c>
      <c r="E5" s="12"/>
      <c r="F5" s="6" t="s">
        <v>73</v>
      </c>
      <c r="G5" s="6" t="s">
        <v>78</v>
      </c>
      <c r="H5" s="12"/>
    </row>
    <row r="6">
      <c r="A6" s="19" t="s">
        <v>75</v>
      </c>
      <c r="B6" s="6" t="s">
        <v>149</v>
      </c>
      <c r="C6" s="16" t="s">
        <v>150</v>
      </c>
      <c r="D6" s="6" t="s">
        <v>78</v>
      </c>
      <c r="E6" s="12"/>
      <c r="F6" s="6" t="s">
        <v>151</v>
      </c>
      <c r="G6" s="12" t="s">
        <v>118</v>
      </c>
      <c r="H6" s="12"/>
    </row>
    <row r="7">
      <c r="A7" s="19" t="s">
        <v>80</v>
      </c>
      <c r="B7" s="6" t="s">
        <v>149</v>
      </c>
      <c r="C7" s="16" t="s">
        <v>152</v>
      </c>
      <c r="D7" s="6" t="s">
        <v>78</v>
      </c>
      <c r="E7" s="12"/>
      <c r="F7" s="6" t="s">
        <v>151</v>
      </c>
      <c r="G7" s="6" t="s">
        <v>78</v>
      </c>
      <c r="H7" s="12"/>
    </row>
    <row r="8">
      <c r="A8" s="19" t="s">
        <v>88</v>
      </c>
      <c r="B8" s="20" t="s">
        <v>153</v>
      </c>
      <c r="C8" s="16" t="s">
        <v>154</v>
      </c>
      <c r="D8" s="6" t="s">
        <v>78</v>
      </c>
      <c r="E8" s="12"/>
      <c r="F8" s="6" t="s">
        <v>91</v>
      </c>
      <c r="G8" s="6" t="s">
        <v>78</v>
      </c>
      <c r="H8" s="12"/>
    </row>
    <row r="9">
      <c r="A9" s="19" t="s">
        <v>93</v>
      </c>
      <c r="B9" s="6" t="s">
        <v>155</v>
      </c>
      <c r="C9" s="16" t="s">
        <v>156</v>
      </c>
      <c r="D9" s="6" t="s">
        <v>78</v>
      </c>
      <c r="E9" s="12"/>
      <c r="F9" s="6" t="s">
        <v>157</v>
      </c>
      <c r="G9" s="6" t="s">
        <v>78</v>
      </c>
      <c r="H9" s="12"/>
    </row>
    <row r="10">
      <c r="A10" s="19" t="s">
        <v>97</v>
      </c>
      <c r="B10" s="6" t="s">
        <v>155</v>
      </c>
      <c r="C10" s="16" t="s">
        <v>146</v>
      </c>
      <c r="D10" s="6" t="s">
        <v>78</v>
      </c>
      <c r="E10" s="12"/>
      <c r="F10" s="6" t="s">
        <v>99</v>
      </c>
      <c r="G10" s="6" t="s">
        <v>78</v>
      </c>
      <c r="H10" s="12"/>
    </row>
    <row r="11">
      <c r="A11" s="19" t="s">
        <v>158</v>
      </c>
      <c r="B11" s="12"/>
      <c r="C11" s="12"/>
      <c r="D11" s="6" t="s">
        <v>78</v>
      </c>
      <c r="E11" s="12"/>
      <c r="F11" s="12"/>
      <c r="G11" s="12" t="s">
        <v>118</v>
      </c>
      <c r="H11"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dataValidations>
    <dataValidation type="list" allowBlank="1" sqref="D4:D11 G4:G11">
      <formula1>"Yes,No"</formula1>
    </dataValidation>
  </dataValidations>
  <hyperlinks>
    <hyperlink r:id="rId1" ref="C4"/>
    <hyperlink r:id="rId2" ref="C5"/>
    <hyperlink r:id="rId3" ref="C6"/>
    <hyperlink r:id="rId4" ref="C7"/>
    <hyperlink r:id="rId5" ref="C8"/>
    <hyperlink r:id="rId6" ref="C9"/>
    <hyperlink r:id="rId7" ref="C10"/>
  </hyperlinks>
  <printOptions/>
  <pageMargins bottom="0.75" footer="0.0" header="0.0" left="0.7" right="0.7" top="0.75"/>
  <pageSetup orientation="landscape"/>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2" width="32.0"/>
    <col customWidth="1" min="3" max="3" width="34.0"/>
    <col customWidth="1" min="4" max="4" width="38.0"/>
    <col customWidth="1" min="5" max="5" width="24.0"/>
    <col customWidth="1" min="6" max="8" width="15.0"/>
    <col customWidth="1" min="9" max="9" width="32.0"/>
    <col customWidth="1" min="10" max="26" width="8.63"/>
  </cols>
  <sheetData>
    <row r="1" ht="33.75" customHeight="1">
      <c r="A1" s="1" t="s">
        <v>159</v>
      </c>
    </row>
    <row r="3" ht="30.0" customHeight="1">
      <c r="A3" s="3" t="s">
        <v>160</v>
      </c>
      <c r="B3" s="3" t="s">
        <v>161</v>
      </c>
      <c r="C3" s="3" t="s">
        <v>162</v>
      </c>
      <c r="D3" s="3" t="s">
        <v>163</v>
      </c>
      <c r="E3" s="3" t="s">
        <v>142</v>
      </c>
      <c r="F3" s="3" t="s">
        <v>164</v>
      </c>
      <c r="G3" s="3" t="s">
        <v>39</v>
      </c>
      <c r="H3" s="3" t="s">
        <v>165</v>
      </c>
      <c r="I3" s="3" t="s">
        <v>144</v>
      </c>
    </row>
    <row r="4">
      <c r="A4" s="13">
        <v>46300.0</v>
      </c>
      <c r="B4" s="6" t="s">
        <v>166</v>
      </c>
      <c r="C4" s="6" t="s">
        <v>167</v>
      </c>
      <c r="D4" s="6" t="s">
        <v>168</v>
      </c>
      <c r="E4" s="6" t="s">
        <v>116</v>
      </c>
      <c r="F4" s="12"/>
      <c r="G4" s="6" t="s">
        <v>67</v>
      </c>
      <c r="H4" s="13">
        <v>46300.0</v>
      </c>
      <c r="I4" s="12"/>
    </row>
    <row r="5">
      <c r="A5" s="13">
        <v>46302.0</v>
      </c>
      <c r="B5" s="6" t="s">
        <v>169</v>
      </c>
      <c r="C5" s="6" t="s">
        <v>170</v>
      </c>
      <c r="D5" s="6" t="s">
        <v>171</v>
      </c>
      <c r="E5" s="6" t="s">
        <v>116</v>
      </c>
      <c r="F5" s="12"/>
      <c r="G5" s="6" t="s">
        <v>67</v>
      </c>
      <c r="H5" s="13">
        <v>46303.0</v>
      </c>
      <c r="I5" s="12"/>
    </row>
    <row r="6">
      <c r="A6" s="13">
        <v>46304.0</v>
      </c>
      <c r="B6" s="6" t="s">
        <v>172</v>
      </c>
      <c r="C6" s="6" t="s">
        <v>173</v>
      </c>
      <c r="D6" s="6" t="s">
        <v>174</v>
      </c>
      <c r="E6" s="6" t="s">
        <v>175</v>
      </c>
      <c r="F6" s="12"/>
      <c r="G6" s="6" t="s">
        <v>67</v>
      </c>
      <c r="H6" s="11">
        <v>46305.0</v>
      </c>
      <c r="I6" s="12"/>
    </row>
    <row r="7">
      <c r="A7" s="12"/>
      <c r="B7" s="12"/>
      <c r="C7" s="12"/>
      <c r="D7" s="12"/>
      <c r="E7" s="12"/>
      <c r="F7" s="12"/>
      <c r="G7" s="12" t="s">
        <v>120</v>
      </c>
      <c r="H7" s="12"/>
      <c r="I7" s="12"/>
    </row>
    <row r="8">
      <c r="A8" s="12"/>
      <c r="B8" s="12"/>
      <c r="C8" s="12"/>
      <c r="D8" s="12"/>
      <c r="E8" s="12"/>
      <c r="F8" s="12"/>
      <c r="G8" s="12" t="s">
        <v>120</v>
      </c>
      <c r="H8" s="12"/>
      <c r="I8" s="12"/>
    </row>
    <row r="9">
      <c r="A9" s="12"/>
      <c r="B9" s="12"/>
      <c r="C9" s="12"/>
      <c r="D9" s="12"/>
      <c r="E9" s="12"/>
      <c r="F9" s="12"/>
      <c r="G9" s="12" t="s">
        <v>120</v>
      </c>
      <c r="H9" s="12"/>
      <c r="I9" s="12"/>
    </row>
    <row r="10">
      <c r="A10" s="12"/>
      <c r="B10" s="12"/>
      <c r="C10" s="12"/>
      <c r="D10" s="12"/>
      <c r="E10" s="12"/>
      <c r="F10" s="12"/>
      <c r="G10" s="12" t="s">
        <v>120</v>
      </c>
      <c r="H10" s="12"/>
      <c r="I10" s="12"/>
    </row>
    <row r="11">
      <c r="A11" s="12"/>
      <c r="B11" s="12"/>
      <c r="C11" s="12"/>
      <c r="D11" s="12"/>
      <c r="E11" s="12"/>
      <c r="F11" s="12"/>
      <c r="G11" s="12" t="s">
        <v>120</v>
      </c>
      <c r="H11" s="12"/>
      <c r="I11" s="12"/>
    </row>
    <row r="12">
      <c r="A12" s="12"/>
      <c r="B12" s="12"/>
      <c r="C12" s="12"/>
      <c r="D12" s="12"/>
      <c r="E12" s="12"/>
      <c r="F12" s="12"/>
      <c r="G12" s="12" t="s">
        <v>120</v>
      </c>
      <c r="H12" s="12"/>
      <c r="I12" s="12"/>
    </row>
    <row r="13">
      <c r="A13" s="12"/>
      <c r="B13" s="12"/>
      <c r="C13" s="12"/>
      <c r="D13" s="12"/>
      <c r="E13" s="12"/>
      <c r="F13" s="12"/>
      <c r="G13" s="12" t="s">
        <v>120</v>
      </c>
      <c r="H13" s="12"/>
      <c r="I13" s="12"/>
    </row>
    <row r="14">
      <c r="A14" s="12"/>
      <c r="B14" s="12"/>
      <c r="C14" s="12"/>
      <c r="D14" s="12"/>
      <c r="E14" s="12"/>
      <c r="F14" s="12"/>
      <c r="G14" s="12" t="s">
        <v>120</v>
      </c>
      <c r="H14" s="12"/>
      <c r="I14" s="12"/>
    </row>
    <row r="15">
      <c r="A15" s="12"/>
      <c r="B15" s="12"/>
      <c r="C15" s="12"/>
      <c r="D15" s="12"/>
      <c r="E15" s="12"/>
      <c r="F15" s="12"/>
      <c r="G15" s="12" t="s">
        <v>120</v>
      </c>
      <c r="H15" s="12"/>
      <c r="I15" s="12"/>
    </row>
    <row r="16">
      <c r="A16" s="12"/>
      <c r="B16" s="12"/>
      <c r="C16" s="12"/>
      <c r="D16" s="12"/>
      <c r="E16" s="12"/>
      <c r="F16" s="12"/>
      <c r="G16" s="12" t="s">
        <v>120</v>
      </c>
      <c r="H16" s="12"/>
      <c r="I16" s="12"/>
    </row>
    <row r="17">
      <c r="A17" s="12"/>
      <c r="B17" s="12"/>
      <c r="C17" s="12"/>
      <c r="D17" s="12"/>
      <c r="E17" s="12"/>
      <c r="F17" s="12"/>
      <c r="G17" s="12" t="s">
        <v>120</v>
      </c>
      <c r="H17" s="12"/>
      <c r="I17" s="12"/>
    </row>
    <row r="18">
      <c r="A18" s="12"/>
      <c r="B18" s="12"/>
      <c r="C18" s="12"/>
      <c r="D18" s="12"/>
      <c r="E18" s="12"/>
      <c r="F18" s="12"/>
      <c r="G18" s="12" t="s">
        <v>120</v>
      </c>
      <c r="H18" s="12"/>
      <c r="I18" s="12"/>
    </row>
    <row r="19">
      <c r="A19" s="12"/>
      <c r="B19" s="12"/>
      <c r="C19" s="12"/>
      <c r="D19" s="12"/>
      <c r="E19" s="12"/>
      <c r="F19" s="12"/>
      <c r="G19" s="12" t="s">
        <v>120</v>
      </c>
      <c r="H19" s="12"/>
      <c r="I19" s="12"/>
    </row>
    <row r="20">
      <c r="A20" s="12"/>
      <c r="B20" s="12"/>
      <c r="C20" s="12"/>
      <c r="D20" s="12"/>
      <c r="E20" s="12"/>
      <c r="F20" s="12"/>
      <c r="G20" s="12" t="s">
        <v>120</v>
      </c>
      <c r="H20" s="12"/>
      <c r="I20" s="12"/>
    </row>
    <row r="21" ht="15.75" customHeight="1">
      <c r="A21" s="12"/>
      <c r="B21" s="12"/>
      <c r="C21" s="12"/>
      <c r="D21" s="12"/>
      <c r="E21" s="12"/>
      <c r="F21" s="12"/>
      <c r="G21" s="12" t="s">
        <v>120</v>
      </c>
      <c r="H21" s="12"/>
      <c r="I21" s="12"/>
    </row>
    <row r="22" ht="15.75" customHeight="1">
      <c r="A22" s="12"/>
      <c r="B22" s="12"/>
      <c r="C22" s="12"/>
      <c r="D22" s="12"/>
      <c r="E22" s="12"/>
      <c r="F22" s="12"/>
      <c r="G22" s="12" t="s">
        <v>120</v>
      </c>
      <c r="H22" s="12"/>
      <c r="I22" s="12"/>
    </row>
    <row r="23" ht="15.75" customHeight="1">
      <c r="A23" s="12"/>
      <c r="B23" s="12"/>
      <c r="C23" s="12"/>
      <c r="D23" s="12"/>
      <c r="E23" s="12"/>
      <c r="F23" s="12"/>
      <c r="G23" s="12" t="s">
        <v>120</v>
      </c>
      <c r="H23" s="12"/>
      <c r="I23" s="12"/>
    </row>
    <row r="24" ht="15.75" customHeight="1">
      <c r="A24" s="12"/>
      <c r="B24" s="12"/>
      <c r="C24" s="12"/>
      <c r="D24" s="12"/>
      <c r="E24" s="12"/>
      <c r="F24" s="12"/>
      <c r="G24" s="12" t="s">
        <v>120</v>
      </c>
      <c r="H24" s="12"/>
      <c r="I24" s="12"/>
    </row>
    <row r="25" ht="15.75" customHeight="1">
      <c r="A25" s="12"/>
      <c r="B25" s="12"/>
      <c r="C25" s="12"/>
      <c r="D25" s="12"/>
      <c r="E25" s="12"/>
      <c r="F25" s="12"/>
      <c r="G25" s="12" t="s">
        <v>120</v>
      </c>
      <c r="H25" s="12"/>
      <c r="I25" s="12"/>
    </row>
    <row r="26" ht="15.75" customHeight="1">
      <c r="A26" s="12"/>
      <c r="B26" s="12"/>
      <c r="C26" s="12"/>
      <c r="D26" s="12"/>
      <c r="E26" s="12"/>
      <c r="F26" s="12"/>
      <c r="G26" s="12" t="s">
        <v>120</v>
      </c>
      <c r="H26" s="12"/>
      <c r="I26" s="12"/>
    </row>
    <row r="27" ht="15.75" customHeight="1">
      <c r="A27" s="12"/>
      <c r="B27" s="12"/>
      <c r="C27" s="12"/>
      <c r="D27" s="12"/>
      <c r="E27" s="12"/>
      <c r="F27" s="12"/>
      <c r="G27" s="12" t="s">
        <v>120</v>
      </c>
      <c r="H27" s="12"/>
      <c r="I27" s="12"/>
    </row>
    <row r="28" ht="15.75" customHeight="1">
      <c r="A28" s="12"/>
      <c r="B28" s="12"/>
      <c r="C28" s="12"/>
      <c r="D28" s="12"/>
      <c r="E28" s="12"/>
      <c r="F28" s="12"/>
      <c r="G28" s="12" t="s">
        <v>120</v>
      </c>
      <c r="H28" s="12"/>
      <c r="I28" s="12"/>
    </row>
    <row r="29" ht="15.75" customHeight="1">
      <c r="A29" s="12"/>
      <c r="B29" s="12"/>
      <c r="C29" s="12"/>
      <c r="D29" s="12"/>
      <c r="E29" s="12"/>
      <c r="F29" s="12"/>
      <c r="G29" s="12" t="s">
        <v>120</v>
      </c>
      <c r="H29" s="12"/>
      <c r="I29" s="12"/>
    </row>
    <row r="30" ht="15.75" customHeight="1">
      <c r="A30" s="12"/>
      <c r="B30" s="12"/>
      <c r="C30" s="12"/>
      <c r="D30" s="12"/>
      <c r="E30" s="12"/>
      <c r="F30" s="12"/>
      <c r="G30" s="12" t="s">
        <v>120</v>
      </c>
      <c r="H30" s="12"/>
      <c r="I30" s="12"/>
    </row>
    <row r="31" ht="15.75" customHeight="1">
      <c r="A31" s="12"/>
      <c r="B31" s="12"/>
      <c r="C31" s="12"/>
      <c r="D31" s="12"/>
      <c r="E31" s="12"/>
      <c r="F31" s="12"/>
      <c r="G31" s="12" t="s">
        <v>120</v>
      </c>
      <c r="H31" s="12"/>
      <c r="I31" s="12"/>
    </row>
    <row r="32" ht="15.75" customHeight="1">
      <c r="A32" s="12"/>
      <c r="B32" s="12"/>
      <c r="C32" s="12"/>
      <c r="D32" s="12"/>
      <c r="E32" s="12"/>
      <c r="F32" s="12"/>
      <c r="G32" s="12" t="s">
        <v>120</v>
      </c>
      <c r="H32" s="12"/>
      <c r="I32" s="12"/>
    </row>
    <row r="33" ht="15.75" customHeight="1">
      <c r="A33" s="12"/>
      <c r="B33" s="12"/>
      <c r="C33" s="12"/>
      <c r="D33" s="12"/>
      <c r="E33" s="12"/>
      <c r="F33" s="12"/>
      <c r="G33" s="12" t="s">
        <v>120</v>
      </c>
      <c r="H33" s="12"/>
      <c r="I33" s="1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conditionalFormatting sqref="G4:G33">
    <cfRule type="expression" dxfId="0" priority="1">
      <formula>G4="Completed"</formula>
    </cfRule>
  </conditionalFormatting>
  <conditionalFormatting sqref="G4:G33">
    <cfRule type="expression" dxfId="1" priority="2">
      <formula>G4="Blocked"</formula>
    </cfRule>
  </conditionalFormatting>
  <dataValidations>
    <dataValidation type="list" allowBlank="1" sqref="G4:G33">
      <formula1>"Not Started,In Progress,Completed,Blocked"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0"/>
    <col customWidth="1" min="2" max="3" width="34.0"/>
    <col customWidth="1" min="4" max="4" width="4.0"/>
    <col customWidth="1" min="5" max="5" width="38.0"/>
    <col customWidth="1" min="6" max="6" width="14.0"/>
    <col customWidth="1" min="7" max="26" width="8.63"/>
  </cols>
  <sheetData>
    <row r="1" ht="33.75" customHeight="1">
      <c r="A1" s="1" t="s">
        <v>38</v>
      </c>
    </row>
    <row r="3" ht="30.0" customHeight="1">
      <c r="A3" s="4" t="s">
        <v>131</v>
      </c>
      <c r="B3" s="6" t="s">
        <v>176</v>
      </c>
      <c r="E3" s="3" t="s">
        <v>177</v>
      </c>
      <c r="F3" s="3" t="s">
        <v>178</v>
      </c>
    </row>
    <row r="4">
      <c r="A4" s="4" t="s">
        <v>133</v>
      </c>
      <c r="B4" s="6" t="s">
        <v>67</v>
      </c>
      <c r="E4" s="19" t="s">
        <v>179</v>
      </c>
      <c r="F4" s="6" t="s">
        <v>78</v>
      </c>
    </row>
    <row r="5">
      <c r="A5" s="4" t="s">
        <v>181</v>
      </c>
      <c r="B5" s="6" t="s">
        <v>182</v>
      </c>
      <c r="E5" s="19" t="s">
        <v>183</v>
      </c>
      <c r="F5" s="6" t="s">
        <v>78</v>
      </c>
    </row>
    <row r="6">
      <c r="A6" s="4" t="s">
        <v>184</v>
      </c>
      <c r="B6" s="6" t="s">
        <v>185</v>
      </c>
      <c r="E6" s="19" t="s">
        <v>187</v>
      </c>
      <c r="F6" s="6" t="s">
        <v>78</v>
      </c>
    </row>
    <row r="7">
      <c r="A7" s="4" t="s">
        <v>188</v>
      </c>
      <c r="B7" s="6" t="s">
        <v>189</v>
      </c>
      <c r="E7" s="19" t="s">
        <v>190</v>
      </c>
      <c r="F7" s="6" t="s">
        <v>78</v>
      </c>
    </row>
    <row r="8">
      <c r="A8" s="4" t="s">
        <v>192</v>
      </c>
      <c r="B8" s="6" t="s">
        <v>193</v>
      </c>
      <c r="E8" s="19" t="s">
        <v>194</v>
      </c>
      <c r="F8" s="6" t="s">
        <v>78</v>
      </c>
    </row>
    <row r="9">
      <c r="A9" s="4" t="s">
        <v>195</v>
      </c>
      <c r="B9" s="6" t="s">
        <v>196</v>
      </c>
      <c r="E9" s="19" t="s">
        <v>197</v>
      </c>
      <c r="F9" s="6" t="s">
        <v>78</v>
      </c>
    </row>
    <row r="10">
      <c r="A10" s="4" t="s">
        <v>198</v>
      </c>
      <c r="B10" s="6" t="s">
        <v>199</v>
      </c>
      <c r="E10" s="19" t="s">
        <v>201</v>
      </c>
      <c r="F10" s="6" t="s">
        <v>78</v>
      </c>
    </row>
    <row r="11">
      <c r="A11" s="4" t="s">
        <v>202</v>
      </c>
      <c r="B11" s="6" t="s">
        <v>203</v>
      </c>
      <c r="E11" s="19" t="s">
        <v>204</v>
      </c>
      <c r="F11" s="6" t="s">
        <v>78</v>
      </c>
    </row>
    <row r="12">
      <c r="E12" s="19" t="s">
        <v>206</v>
      </c>
      <c r="F12" s="6" t="s">
        <v>78</v>
      </c>
    </row>
    <row r="13">
      <c r="E13" s="19" t="s">
        <v>207</v>
      </c>
      <c r="F13" s="6" t="s">
        <v>78</v>
      </c>
    </row>
    <row r="14">
      <c r="E14" s="19" t="s">
        <v>208</v>
      </c>
      <c r="F14" s="6" t="s">
        <v>78</v>
      </c>
    </row>
    <row r="15">
      <c r="E15" s="19" t="s">
        <v>209</v>
      </c>
      <c r="F15" s="6" t="s">
        <v>78</v>
      </c>
    </row>
    <row r="16">
      <c r="E16" s="19" t="s">
        <v>210</v>
      </c>
      <c r="F16" s="12" t="s">
        <v>118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9:C9"/>
    <mergeCell ref="B10:C10"/>
    <mergeCell ref="B11:C11"/>
    <mergeCell ref="A1:F1"/>
    <mergeCell ref="B3:C3"/>
    <mergeCell ref="B4:C4"/>
    <mergeCell ref="B5:C5"/>
    <mergeCell ref="B6:C6"/>
    <mergeCell ref="B7:C7"/>
    <mergeCell ref="B8:C8"/>
  </mergeCells>
  <dataValidations>
    <dataValidation type="list" allowBlank="1" sqref="B4">
      <formula1>"Not Started,In Progress,Completed,Blocked"</formula1>
    </dataValidation>
    <dataValidation type="list" allowBlank="1" sqref="F4:F16">
      <formula1>"Yes,No"</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24.0"/>
    <col customWidth="1" min="7" max="26" width="8.63"/>
  </cols>
  <sheetData>
    <row r="1" ht="33.75" customHeight="1">
      <c r="A1" s="1" t="s">
        <v>180</v>
      </c>
    </row>
    <row r="3" ht="27.75" customHeight="1">
      <c r="A3" s="4" t="s">
        <v>186</v>
      </c>
    </row>
    <row r="4" ht="37.5" customHeight="1">
      <c r="A4" s="21" t="s">
        <v>191</v>
      </c>
    </row>
    <row r="5" ht="37.5" customHeight="1"/>
    <row r="6" ht="30.0" customHeight="1">
      <c r="A6" s="22"/>
      <c r="B6" s="22"/>
      <c r="C6" s="22"/>
      <c r="D6" s="22"/>
      <c r="E6" s="22"/>
      <c r="F6" s="22"/>
    </row>
    <row r="7" ht="27.75" customHeight="1">
      <c r="A7" s="22" t="s">
        <v>200</v>
      </c>
    </row>
    <row r="8" ht="37.5" customHeight="1">
      <c r="A8" s="21" t="s">
        <v>205</v>
      </c>
    </row>
    <row r="9" ht="37.5" customHeight="1"/>
    <row r="10" ht="42.0" customHeight="1">
      <c r="A10" s="12"/>
      <c r="B10" s="12"/>
      <c r="C10" s="12"/>
      <c r="D10" s="12"/>
      <c r="E10" s="12"/>
      <c r="F10" s="12"/>
    </row>
    <row r="11" ht="27.75" customHeight="1">
      <c r="A11" s="4" t="s">
        <v>211</v>
      </c>
    </row>
    <row r="12" ht="37.5" customHeight="1">
      <c r="A12" s="6" t="s">
        <v>212</v>
      </c>
    </row>
    <row r="13" ht="37.5" customHeight="1"/>
    <row r="15" ht="27.75" customHeight="1">
      <c r="A15" s="4" t="s">
        <v>213</v>
      </c>
    </row>
    <row r="16" ht="37.5" customHeight="1">
      <c r="A16" s="6" t="s">
        <v>214</v>
      </c>
    </row>
    <row r="17" ht="37.5" customHeight="1"/>
    <row r="19" ht="27.75" customHeight="1">
      <c r="A19" s="4" t="s">
        <v>215</v>
      </c>
    </row>
    <row r="20" ht="37.5" customHeight="1">
      <c r="A20" s="6" t="s">
        <v>216</v>
      </c>
    </row>
    <row r="21" ht="37.5" customHeight="1"/>
    <row r="22" ht="15.75" customHeight="1"/>
    <row r="23" ht="27.75" customHeight="1">
      <c r="A23" s="4" t="s">
        <v>217</v>
      </c>
    </row>
    <row r="24" ht="37.5" customHeight="1">
      <c r="A24" s="6" t="s">
        <v>218</v>
      </c>
    </row>
    <row r="25" ht="3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5:F15"/>
    <mergeCell ref="A16:F17"/>
    <mergeCell ref="A19:F19"/>
    <mergeCell ref="A20:F21"/>
    <mergeCell ref="A23:F23"/>
    <mergeCell ref="A24:F25"/>
    <mergeCell ref="A1:F1"/>
    <mergeCell ref="A3:F3"/>
    <mergeCell ref="A4:F5"/>
    <mergeCell ref="A7:F7"/>
    <mergeCell ref="A8:F9"/>
    <mergeCell ref="A11:F11"/>
    <mergeCell ref="A12:F13"/>
  </mergeCells>
  <printOptions/>
  <pageMargins bottom="0.75" footer="0.0" header="0.0" left="0.7" right="0.7" top="0.75"/>
  <pageSetup orientation="landscape"/>
  <drawing r:id="rId1"/>
</worksheet>
</file>